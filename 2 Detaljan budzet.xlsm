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Stefan\Documents\GitKraken\USP\"/>
    </mc:Choice>
  </mc:AlternateContent>
  <xr:revisionPtr revIDLastSave="0" documentId="13_ncr:1_{B0149A2F-F9B9-491A-A156-1BD4699FAF18}" xr6:coauthVersionLast="32" xr6:coauthVersionMax="32" xr10:uidLastSave="{00000000-0000-0000-0000-000000000000}"/>
  <workbookProtection workbookPassword="E359" lockStructure="1"/>
  <bookViews>
    <workbookView xWindow="0" yWindow="0" windowWidth="28800" windowHeight="12225" tabRatio="842"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'Co-financing'!$A$1:$K$24</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'Co-financing'!$20:$1048576,'Co-financing'!#REF!</definedName>
  </definedNames>
  <calcPr calcId="179017"/>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C16" i="71" l="1"/>
  <c r="D19" i="26" l="1"/>
  <c r="D18" i="26"/>
  <c r="C19" i="71"/>
  <c r="C18" i="71"/>
  <c r="C17" i="71"/>
  <c r="C15" i="71"/>
  <c r="D22" i="26" l="1"/>
  <c r="D15" i="70"/>
  <c r="D20" i="26"/>
  <c r="D17" i="26"/>
  <c r="D15" i="26"/>
  <c r="D38" i="40" l="1"/>
  <c r="D37" i="40"/>
  <c r="D36" i="40"/>
  <c r="D35" i="40"/>
  <c r="D33" i="40"/>
  <c r="D32" i="40"/>
  <c r="D31" i="40"/>
  <c r="D30" i="40"/>
  <c r="D28" i="40"/>
  <c r="D27" i="40"/>
  <c r="D26" i="40"/>
  <c r="D25" i="40"/>
  <c r="D23" i="40"/>
  <c r="D22" i="40"/>
  <c r="D21" i="40"/>
  <c r="D20" i="40"/>
  <c r="D18" i="40"/>
  <c r="D17" i="40"/>
  <c r="D16" i="40"/>
  <c r="D15" i="40"/>
  <c r="D30" i="39"/>
  <c r="D29" i="39"/>
  <c r="D28" i="39"/>
  <c r="D27" i="39"/>
  <c r="D25" i="39"/>
  <c r="D24" i="39"/>
  <c r="D23" i="39"/>
  <c r="D21" i="39"/>
  <c r="D20" i="39"/>
  <c r="D19" i="39"/>
  <c r="D17" i="39"/>
  <c r="D16" i="39"/>
  <c r="D15" i="39"/>
  <c r="D16" i="70"/>
  <c r="D23" i="26"/>
  <c r="D21" i="26"/>
  <c r="D16" i="26"/>
  <c r="D26" i="39"/>
  <c r="D22" i="39"/>
  <c r="D18" i="39"/>
  <c r="D34" i="40"/>
  <c r="D29" i="40"/>
  <c r="D24" i="40"/>
  <c r="D19" i="40"/>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3" i="26"/>
  <c r="D14" i="26"/>
  <c r="D13" i="26"/>
  <c r="E14" i="39"/>
  <c r="E13" i="39"/>
  <c r="D14" i="39"/>
  <c r="D13" i="39"/>
  <c r="E14" i="40"/>
  <c r="E13" i="40"/>
  <c r="D14" i="40"/>
  <c r="D13" i="40"/>
  <c r="E12" i="41"/>
  <c r="E11" i="41"/>
  <c r="E22" i="41"/>
  <c r="G7" i="55"/>
  <c r="G9" i="55"/>
  <c r="E13" i="41"/>
  <c r="F7" i="55"/>
  <c r="D16" i="71" l="1"/>
  <c r="J16" i="71" s="1"/>
  <c r="I16" i="71" s="1"/>
  <c r="D15" i="71"/>
  <c r="J15" i="71" s="1"/>
  <c r="I15" i="71" s="1"/>
  <c r="E14" i="26"/>
  <c r="D19" i="71"/>
  <c r="J19" i="71" s="1"/>
  <c r="I19" i="71" s="1"/>
  <c r="D17" i="71"/>
  <c r="J17" i="71" s="1"/>
  <c r="I17" i="71" s="1"/>
  <c r="D18" i="71"/>
  <c r="J18" i="71" s="1"/>
  <c r="I18" i="71" s="1"/>
  <c r="E19" i="26"/>
  <c r="I19" i="26" s="1"/>
  <c r="H19" i="26" s="1"/>
  <c r="E18" i="26"/>
  <c r="I18" i="26" s="1"/>
  <c r="H18" i="26" s="1"/>
  <c r="E15" i="70"/>
  <c r="I15" i="70" s="1"/>
  <c r="H15" i="70" s="1"/>
  <c r="G6" i="55" s="1"/>
  <c r="E15" i="26"/>
  <c r="I15" i="26" s="1"/>
  <c r="H15" i="26" s="1"/>
  <c r="E17" i="26"/>
  <c r="I17" i="26" s="1"/>
  <c r="H17" i="26" s="1"/>
  <c r="E35" i="40"/>
  <c r="T35" i="40" s="1"/>
  <c r="E23" i="39"/>
  <c r="O23" i="39" s="1"/>
  <c r="E20" i="40"/>
  <c r="T20" i="40" s="1"/>
  <c r="E27" i="39"/>
  <c r="O27" i="39" s="1"/>
  <c r="E15" i="40"/>
  <c r="T15" i="40" s="1"/>
  <c r="E25" i="40"/>
  <c r="T25" i="40" s="1"/>
  <c r="E30" i="40"/>
  <c r="T30" i="40" s="1"/>
  <c r="E16" i="26"/>
  <c r="I16" i="26" s="1"/>
  <c r="H16" i="26" s="1"/>
  <c r="E34" i="40"/>
  <c r="T34" i="40" s="1"/>
  <c r="E23" i="26"/>
  <c r="I23" i="26" s="1"/>
  <c r="H23" i="26" s="1"/>
  <c r="F9" i="55" s="1"/>
  <c r="E26" i="39"/>
  <c r="O26" i="39" s="1"/>
  <c r="E29" i="40"/>
  <c r="T29" i="40" s="1"/>
  <c r="E22" i="39"/>
  <c r="O22" i="39" s="1"/>
  <c r="E24" i="40"/>
  <c r="T24" i="40" s="1"/>
  <c r="E18" i="39"/>
  <c r="O18" i="39" s="1"/>
  <c r="E19" i="40"/>
  <c r="T19" i="40" s="1"/>
  <c r="E22" i="26"/>
  <c r="I22" i="26" s="1"/>
  <c r="H22" i="26" s="1"/>
  <c r="E20" i="26"/>
  <c r="I20" i="26" s="1"/>
  <c r="H20" i="26" s="1"/>
  <c r="E23" i="40"/>
  <c r="T23" i="40" s="1"/>
  <c r="E28" i="40"/>
  <c r="T28" i="40" s="1"/>
  <c r="E25" i="39"/>
  <c r="O25" i="39" s="1"/>
  <c r="E33" i="40"/>
  <c r="T33" i="40" s="1"/>
  <c r="E21" i="39"/>
  <c r="O21" i="39" s="1"/>
  <c r="E38" i="40"/>
  <c r="T38" i="40" s="1"/>
  <c r="E30" i="39"/>
  <c r="O30" i="39" s="1"/>
  <c r="E18" i="40"/>
  <c r="T18" i="40" s="1"/>
  <c r="E17" i="39"/>
  <c r="O17" i="39" s="1"/>
  <c r="E29" i="39"/>
  <c r="O29" i="39" s="1"/>
  <c r="E17" i="40"/>
  <c r="T17" i="40" s="1"/>
  <c r="E16" i="39"/>
  <c r="O16" i="39" s="1"/>
  <c r="E20" i="39"/>
  <c r="O20" i="39" s="1"/>
  <c r="E37" i="40"/>
  <c r="T37" i="40" s="1"/>
  <c r="E22" i="40"/>
  <c r="T22" i="40" s="1"/>
  <c r="E27" i="40"/>
  <c r="T27" i="40" s="1"/>
  <c r="E32" i="40"/>
  <c r="T32" i="40" s="1"/>
  <c r="E36" i="40"/>
  <c r="T36" i="40" s="1"/>
  <c r="E31" i="40"/>
  <c r="T31" i="40" s="1"/>
  <c r="E26" i="40"/>
  <c r="T26" i="40" s="1"/>
  <c r="E21" i="40"/>
  <c r="T21" i="40" s="1"/>
  <c r="E16" i="40"/>
  <c r="T16" i="40" s="1"/>
  <c r="E24" i="39"/>
  <c r="O24" i="39" s="1"/>
  <c r="E16" i="70"/>
  <c r="I16" i="70" s="1"/>
  <c r="H16" i="70" s="1"/>
  <c r="G8" i="55" s="1"/>
  <c r="E21" i="26"/>
  <c r="I21" i="26" s="1"/>
  <c r="H21" i="26" s="1"/>
  <c r="E28" i="39"/>
  <c r="O28" i="39" s="1"/>
  <c r="E19" i="39"/>
  <c r="O19" i="39" s="1"/>
  <c r="E15" i="39"/>
  <c r="O15" i="39" s="1"/>
  <c r="T14" i="40"/>
  <c r="J14" i="40" s="1"/>
  <c r="K14" i="40" s="1"/>
  <c r="O14" i="39"/>
  <c r="O13" i="39"/>
  <c r="L13" i="39" s="1"/>
  <c r="J13" i="71"/>
  <c r="I13" i="71" s="1"/>
  <c r="I13" i="26"/>
  <c r="I13" i="70"/>
  <c r="I14" i="26"/>
  <c r="H14" i="26" s="1"/>
  <c r="I14" i="70"/>
  <c r="H14" i="70" s="1"/>
  <c r="G5" i="55" s="1"/>
  <c r="J14" i="71"/>
  <c r="T13" i="40"/>
  <c r="F8" i="55" l="1"/>
  <c r="R17" i="40"/>
  <c r="P17" i="40"/>
  <c r="Q17" i="40" s="1"/>
  <c r="M17" i="40"/>
  <c r="N17" i="40" s="1"/>
  <c r="J17" i="40"/>
  <c r="K17" i="40" s="1"/>
  <c r="G17" i="40"/>
  <c r="H17" i="40" s="1"/>
  <c r="L25" i="39"/>
  <c r="M25" i="39"/>
  <c r="M22" i="39"/>
  <c r="L22" i="39"/>
  <c r="M33" i="40"/>
  <c r="N33" i="40" s="1"/>
  <c r="P33" i="40"/>
  <c r="Q33" i="40" s="1"/>
  <c r="J33" i="40"/>
  <c r="K33" i="40" s="1"/>
  <c r="G33" i="40"/>
  <c r="H33" i="40" s="1"/>
  <c r="R33" i="40"/>
  <c r="M29" i="39"/>
  <c r="L29" i="39"/>
  <c r="R28" i="40"/>
  <c r="M28" i="40"/>
  <c r="N28" i="40" s="1"/>
  <c r="P28" i="40"/>
  <c r="Q28" i="40" s="1"/>
  <c r="G28" i="40"/>
  <c r="H28" i="40" s="1"/>
  <c r="J28" i="40"/>
  <c r="K28" i="40" s="1"/>
  <c r="R29" i="40"/>
  <c r="P29" i="40"/>
  <c r="Q29" i="40" s="1"/>
  <c r="J29" i="40"/>
  <c r="K29" i="40" s="1"/>
  <c r="G29" i="40"/>
  <c r="H29" i="40" s="1"/>
  <c r="M29" i="40"/>
  <c r="N29" i="40" s="1"/>
  <c r="M30" i="40"/>
  <c r="N30" i="40" s="1"/>
  <c r="G30" i="40"/>
  <c r="H30" i="40" s="1"/>
  <c r="P30" i="40"/>
  <c r="Q30" i="40" s="1"/>
  <c r="J30" i="40"/>
  <c r="K30" i="40" s="1"/>
  <c r="R30" i="40"/>
  <c r="P32" i="40"/>
  <c r="Q32" i="40" s="1"/>
  <c r="J32" i="40"/>
  <c r="K32" i="40" s="1"/>
  <c r="R32" i="40"/>
  <c r="M32" i="40"/>
  <c r="N32" i="40" s="1"/>
  <c r="G32" i="40"/>
  <c r="H32" i="40" s="1"/>
  <c r="L17" i="39"/>
  <c r="M17" i="39"/>
  <c r="R23" i="40"/>
  <c r="G23" i="40"/>
  <c r="H23" i="40" s="1"/>
  <c r="P23" i="40"/>
  <c r="Q23" i="40" s="1"/>
  <c r="M23" i="40"/>
  <c r="N23" i="40" s="1"/>
  <c r="J23" i="40"/>
  <c r="K23" i="40" s="1"/>
  <c r="L26" i="39"/>
  <c r="M26" i="39"/>
  <c r="P25" i="40"/>
  <c r="Q25" i="40" s="1"/>
  <c r="M25" i="40"/>
  <c r="N25" i="40" s="1"/>
  <c r="G25" i="40"/>
  <c r="H25" i="40" s="1"/>
  <c r="R25" i="40"/>
  <c r="J25" i="40"/>
  <c r="K25" i="40" s="1"/>
  <c r="M16" i="39"/>
  <c r="L16" i="39"/>
  <c r="M27" i="40"/>
  <c r="N27" i="40" s="1"/>
  <c r="P27" i="40"/>
  <c r="Q27" i="40" s="1"/>
  <c r="J27" i="40"/>
  <c r="K27" i="40" s="1"/>
  <c r="R27" i="40"/>
  <c r="G27" i="40"/>
  <c r="H27" i="40" s="1"/>
  <c r="G18" i="40"/>
  <c r="H18" i="40" s="1"/>
  <c r="P18" i="40"/>
  <c r="Q18" i="40" s="1"/>
  <c r="J18" i="40"/>
  <c r="K18" i="40" s="1"/>
  <c r="M18" i="40"/>
  <c r="N18" i="40" s="1"/>
  <c r="R18" i="40"/>
  <c r="G15" i="40"/>
  <c r="H15" i="40" s="1"/>
  <c r="P15" i="40"/>
  <c r="Q15" i="40" s="1"/>
  <c r="R15" i="40"/>
  <c r="J15" i="40"/>
  <c r="K15" i="40" s="1"/>
  <c r="M15" i="40"/>
  <c r="N15" i="40" s="1"/>
  <c r="G35" i="40"/>
  <c r="H35" i="40" s="1"/>
  <c r="P35" i="40"/>
  <c r="Q35" i="40" s="1"/>
  <c r="J35" i="40"/>
  <c r="K35" i="40" s="1"/>
  <c r="R35" i="40"/>
  <c r="M35" i="40"/>
  <c r="N35" i="40" s="1"/>
  <c r="P22" i="40"/>
  <c r="Q22" i="40" s="1"/>
  <c r="J22" i="40"/>
  <c r="K22" i="40" s="1"/>
  <c r="G22" i="40"/>
  <c r="H22" i="40" s="1"/>
  <c r="M22" i="40"/>
  <c r="N22" i="40" s="1"/>
  <c r="R22" i="40"/>
  <c r="L30" i="39"/>
  <c r="M30" i="39"/>
  <c r="R34" i="40"/>
  <c r="P34" i="40"/>
  <c r="Q34" i="40" s="1"/>
  <c r="J34" i="40"/>
  <c r="K34" i="40" s="1"/>
  <c r="M34" i="40"/>
  <c r="N34" i="40" s="1"/>
  <c r="G34" i="40"/>
  <c r="H34" i="40" s="1"/>
  <c r="L27" i="39"/>
  <c r="M27" i="39"/>
  <c r="R24" i="40"/>
  <c r="J24" i="40"/>
  <c r="K24" i="40" s="1"/>
  <c r="P24" i="40"/>
  <c r="Q24" i="40" s="1"/>
  <c r="M24" i="40"/>
  <c r="N24" i="40" s="1"/>
  <c r="G24" i="40"/>
  <c r="H24" i="40" s="1"/>
  <c r="M37" i="40"/>
  <c r="N37" i="40" s="1"/>
  <c r="G37" i="40"/>
  <c r="H37" i="40" s="1"/>
  <c r="J37" i="40"/>
  <c r="K37" i="40" s="1"/>
  <c r="P37" i="40"/>
  <c r="Q37" i="40" s="1"/>
  <c r="R37" i="40"/>
  <c r="P38" i="40"/>
  <c r="Q38" i="40" s="1"/>
  <c r="M38" i="40"/>
  <c r="N38" i="40" s="1"/>
  <c r="G38" i="40"/>
  <c r="H38" i="40" s="1"/>
  <c r="R38" i="40"/>
  <c r="J38" i="40"/>
  <c r="K38" i="40" s="1"/>
  <c r="R19" i="40"/>
  <c r="P19" i="40"/>
  <c r="Q19" i="40" s="1"/>
  <c r="J19" i="40"/>
  <c r="K19" i="40" s="1"/>
  <c r="M19" i="40"/>
  <c r="N19" i="40" s="1"/>
  <c r="G19" i="40"/>
  <c r="H19" i="40" s="1"/>
  <c r="J20" i="40"/>
  <c r="K20" i="40" s="1"/>
  <c r="G20" i="40"/>
  <c r="H20" i="40" s="1"/>
  <c r="R20" i="40"/>
  <c r="P20" i="40"/>
  <c r="Q20" i="40" s="1"/>
  <c r="M20" i="40"/>
  <c r="N20" i="40" s="1"/>
  <c r="M20" i="39"/>
  <c r="L20" i="39"/>
  <c r="N20" i="39" s="1"/>
  <c r="M21" i="39"/>
  <c r="L21" i="39"/>
  <c r="L18" i="39"/>
  <c r="M18" i="39"/>
  <c r="M23" i="39"/>
  <c r="L23" i="39"/>
  <c r="G10" i="55"/>
  <c r="M15" i="39"/>
  <c r="L15" i="39"/>
  <c r="P21" i="40"/>
  <c r="Q21" i="40" s="1"/>
  <c r="M21" i="40"/>
  <c r="N21" i="40" s="1"/>
  <c r="G21" i="40"/>
  <c r="H21" i="40" s="1"/>
  <c r="J21" i="40"/>
  <c r="K21" i="40" s="1"/>
  <c r="R21" i="40"/>
  <c r="M19" i="39"/>
  <c r="L19" i="39"/>
  <c r="R26" i="40"/>
  <c r="J26" i="40"/>
  <c r="K26" i="40" s="1"/>
  <c r="P26" i="40"/>
  <c r="Q26" i="40" s="1"/>
  <c r="M26" i="40"/>
  <c r="N26" i="40" s="1"/>
  <c r="G26" i="40"/>
  <c r="H26" i="40" s="1"/>
  <c r="M24" i="39"/>
  <c r="L24" i="39"/>
  <c r="P31" i="40"/>
  <c r="Q31" i="40" s="1"/>
  <c r="G31" i="40"/>
  <c r="H31" i="40" s="1"/>
  <c r="M31" i="40"/>
  <c r="N31" i="40" s="1"/>
  <c r="J31" i="40"/>
  <c r="K31" i="40" s="1"/>
  <c r="R31" i="40"/>
  <c r="M28" i="39"/>
  <c r="L28" i="39"/>
  <c r="J16" i="40"/>
  <c r="K16" i="40" s="1"/>
  <c r="G16" i="40"/>
  <c r="H16" i="40" s="1"/>
  <c r="P16" i="40"/>
  <c r="Q16" i="40" s="1"/>
  <c r="R16" i="40"/>
  <c r="M16" i="40"/>
  <c r="N16" i="40" s="1"/>
  <c r="G36" i="40"/>
  <c r="H36" i="40" s="1"/>
  <c r="P36" i="40"/>
  <c r="Q36" i="40" s="1"/>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N27" i="39" l="1"/>
  <c r="N21" i="39"/>
  <c r="N29" i="39"/>
  <c r="N26" i="39"/>
  <c r="E8" i="55"/>
  <c r="S23" i="40"/>
  <c r="S18" i="40"/>
  <c r="S37" i="40"/>
  <c r="S15" i="40"/>
  <c r="S38" i="40"/>
  <c r="G26" i="55" s="1"/>
  <c r="S35" i="40"/>
  <c r="S25" i="40"/>
  <c r="D23" i="55" s="1"/>
  <c r="S20" i="40"/>
  <c r="S24" i="40"/>
  <c r="S17" i="40"/>
  <c r="S22" i="40"/>
  <c r="S28" i="40"/>
  <c r="S33" i="40"/>
  <c r="F26" i="55" s="1"/>
  <c r="N23" i="39"/>
  <c r="S27" i="40"/>
  <c r="D25" i="55" s="1"/>
  <c r="S32" i="40"/>
  <c r="S29" i="40"/>
  <c r="N22" i="39"/>
  <c r="S30" i="40"/>
  <c r="N30" i="39"/>
  <c r="N16" i="39"/>
  <c r="C25" i="55" s="1"/>
  <c r="G29" i="41"/>
  <c r="N17" i="39"/>
  <c r="H30" i="41"/>
  <c r="H29" i="41"/>
  <c r="G30" i="41"/>
  <c r="S19" i="40"/>
  <c r="E6" i="55"/>
  <c r="E7" i="55"/>
  <c r="S34" i="40"/>
  <c r="N18" i="39"/>
  <c r="E22" i="55" s="1"/>
  <c r="N25" i="39"/>
  <c r="E9" i="55"/>
  <c r="H27" i="41"/>
  <c r="D6" i="39"/>
  <c r="G27" i="41"/>
  <c r="N15" i="39"/>
  <c r="S16" i="40"/>
  <c r="N28" i="39"/>
  <c r="S31" i="40"/>
  <c r="S21" i="40"/>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D5" i="39"/>
  <c r="G26" i="41"/>
  <c r="D4" i="39"/>
  <c r="H26" i="41"/>
  <c r="E5" i="55"/>
  <c r="N14" i="39"/>
  <c r="C38" i="55"/>
  <c r="D46" i="55"/>
  <c r="D38" i="55"/>
  <c r="C57" i="55"/>
  <c r="G48" i="55"/>
  <c r="G68"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58" i="55"/>
  <c r="D52" i="55"/>
  <c r="C56" i="55"/>
  <c r="E30" i="55"/>
  <c r="G61" i="55"/>
  <c r="F44" i="55"/>
  <c r="E51" i="55"/>
  <c r="D72" i="55"/>
  <c r="D34" i="55"/>
  <c r="C32" i="55"/>
  <c r="D35" i="55"/>
  <c r="F32" i="55"/>
  <c r="D37" i="55"/>
  <c r="G71" i="55"/>
  <c r="E61" i="55"/>
  <c r="D42" i="55"/>
  <c r="F28" i="55"/>
  <c r="G40" i="55"/>
  <c r="F57" i="55"/>
  <c r="D50" i="55"/>
  <c r="F74" i="55"/>
  <c r="G37" i="55"/>
  <c r="C52" i="55"/>
  <c r="E75" i="55"/>
  <c r="D55" i="55"/>
  <c r="C64" i="55"/>
  <c r="G25" i="55"/>
  <c r="E66" i="55"/>
  <c r="F59" i="55"/>
  <c r="C61" i="55"/>
  <c r="F67" i="55"/>
  <c r="D47" i="55"/>
  <c r="G65" i="55"/>
  <c r="E58" i="55"/>
  <c r="C70" i="55"/>
  <c r="E55" i="55"/>
  <c r="D27" i="55"/>
  <c r="F45" i="55"/>
  <c r="D75" i="55"/>
  <c r="E36" i="55"/>
  <c r="D41" i="55"/>
  <c r="C35" i="55"/>
  <c r="D68" i="55"/>
  <c r="E74" i="55"/>
  <c r="E23" i="55"/>
  <c r="C51" i="55"/>
  <c r="G35" i="55"/>
  <c r="F35" i="55"/>
  <c r="C72" i="55"/>
  <c r="F46" i="55"/>
  <c r="C49" i="55"/>
  <c r="E42" i="55"/>
  <c r="E70" i="55"/>
  <c r="C41" i="55"/>
  <c r="E57" i="55"/>
  <c r="E35"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E6" i="39" l="1"/>
  <c r="D26" i="55"/>
  <c r="I26" i="55" s="1"/>
  <c r="F30" i="41"/>
  <c r="K30" i="41" s="1"/>
  <c r="C8" i="55"/>
  <c r="I8" i="55" s="1"/>
  <c r="C7" i="55"/>
  <c r="I7" i="55" s="1"/>
  <c r="G24" i="55"/>
  <c r="G77" i="55" s="1"/>
  <c r="F29" i="41"/>
  <c r="K29" i="41" s="1"/>
  <c r="C24" i="55"/>
  <c r="E10" i="55"/>
  <c r="C23" i="55"/>
  <c r="I23" i="55" s="1"/>
  <c r="D24" i="55"/>
  <c r="D10" i="55"/>
  <c r="E24" i="55"/>
  <c r="C6" i="55"/>
  <c r="I6" i="55" s="1"/>
  <c r="I9" i="55"/>
  <c r="F28" i="41"/>
  <c r="K28" i="41" s="1"/>
  <c r="D9" i="40"/>
  <c r="D17" i="41" s="1"/>
  <c r="C22" i="55"/>
  <c r="K4" i="39"/>
  <c r="B7" i="74" s="1"/>
  <c r="E4" i="39"/>
  <c r="E8" i="39"/>
  <c r="E18" i="41"/>
  <c r="K35" i="41"/>
  <c r="K39" i="41"/>
  <c r="K31" i="41"/>
  <c r="K34" i="41"/>
  <c r="I5" i="55"/>
  <c r="I52" i="55"/>
  <c r="K26" i="41"/>
  <c r="E15" i="55"/>
  <c r="E16" i="55"/>
  <c r="D15" i="55"/>
  <c r="D16" i="55"/>
  <c r="I46" i="55"/>
  <c r="I75" i="55"/>
  <c r="I42" i="55"/>
  <c r="I57" i="55"/>
  <c r="I36" i="55"/>
  <c r="I35" i="55"/>
  <c r="I64" i="55"/>
  <c r="I61" i="55"/>
  <c r="I30" i="55"/>
  <c r="I73"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F77" i="55"/>
  <c r="C16" i="55" l="1"/>
  <c r="H16" i="55" s="1"/>
  <c r="D77" i="55"/>
  <c r="C77" i="55"/>
  <c r="I24" i="55"/>
  <c r="E77" i="55"/>
  <c r="C10" i="55"/>
  <c r="I10" i="55" s="1"/>
  <c r="C15" i="55"/>
  <c r="C17" i="55" s="1"/>
  <c r="I22" i="55"/>
  <c r="D17" i="55"/>
  <c r="E17" i="55"/>
  <c r="G17" i="55"/>
  <c r="F17" i="55"/>
  <c r="D22" i="41"/>
  <c r="I77" i="55" l="1"/>
  <c r="H15" i="55"/>
  <c r="H17" i="55"/>
</calcChain>
</file>

<file path=xl/sharedStrings.xml><?xml version="1.0" encoding="utf-8"?>
<sst xmlns="http://schemas.openxmlformats.org/spreadsheetml/2006/main" count="885" uniqueCount="392">
  <si>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</si>
  <si>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</si>
  <si>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</si>
  <si>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</si>
  <si>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</si>
  <si>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</si>
  <si>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</si>
  <si>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</si>
  <si>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</si>
  <si>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</si>
  <si>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</si>
  <si>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</si>
  <si>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</si>
  <si>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</si>
  <si>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</si>
  <si>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</si>
  <si>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</si>
  <si>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</si>
  <si>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</si>
  <si>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</si>
  <si>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</si>
  <si>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</si>
  <si>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</si>
  <si>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</si>
  <si>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</si>
  <si>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</si>
  <si>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</si>
  <si>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</si>
  <si>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</si>
  <si>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</si>
  <si>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</si>
  <si>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</si>
  <si>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</si>
  <si>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</si>
  <si>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</si>
  <si>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</si>
  <si>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</si>
  <si>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</si>
  <si>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</si>
  <si>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</si>
  <si>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</si>
  <si>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</si>
  <si>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</si>
  <si>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</si>
  <si>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</si>
  <si>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</si>
  <si>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</si>
  <si>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</si>
  <si>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</si>
  <si>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</si>
  <si>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</si>
  <si>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</si>
  <si>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</si>
  <si>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</si>
  <si>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</si>
  <si>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</si>
  <si>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</si>
  <si>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</si>
  <si>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</si>
  <si>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</si>
  <si>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</si>
  <si>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</si>
  <si>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</si>
  <si>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</si>
  <si>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</si>
  <si>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</si>
  <si>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</si>
  <si>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</si>
  <si>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</si>
  <si>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</si>
  <si>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</si>
  <si>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</si>
  <si>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</si>
  <si>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</si>
  <si>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</si>
  <si>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</si>
  <si>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</si>
  <si>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</si>
  <si>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</si>
  <si>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</si>
  <si>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</si>
  <si>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</si>
  <si>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</si>
  <si>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</si>
  <si>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</si>
  <si>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</si>
  <si>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</si>
  <si>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</si>
  <si>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</si>
  <si>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</si>
  <si>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</si>
  <si>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</si>
  <si>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</si>
  <si>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</si>
  <si>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</si>
  <si>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</si>
  <si>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</si>
  <si>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</si>
  <si>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</si>
  <si>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</si>
  <si>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</si>
  <si>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</si>
  <si>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</si>
  <si>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</si>
  <si>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</si>
  <si>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</si>
  <si>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</si>
  <si>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</si>
  <si>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</si>
  <si>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</si>
  <si>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</si>
  <si>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</si>
  <si>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</si>
  <si>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</si>
  <si>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</si>
  <si>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</si>
  <si>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</si>
  <si>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</si>
  <si>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</si>
  <si>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</si>
  <si>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</si>
  <si>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</si>
  <si>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</si>
  <si>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</si>
  <si>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</si>
  <si>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</si>
  <si>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</si>
  <si>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</si>
  <si>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</si>
  <si>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</si>
  <si>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</si>
  <si>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</si>
  <si>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</si>
  <si>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</si>
  <si>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</si>
  <si>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</si>
  <si>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</si>
  <si>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</si>
  <si>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</si>
  <si>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</si>
  <si>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</si>
  <si>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</si>
  <si>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</si>
  <si>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</si>
  <si>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</si>
  <si>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</si>
  <si>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</si>
  <si>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</si>
  <si>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</si>
  <si>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</si>
  <si>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</si>
  <si>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</si>
  <si>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</si>
  <si>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</si>
  <si>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</si>
  <si>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</si>
  <si>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</si>
  <si>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</si>
  <si>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</si>
  <si>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</si>
  <si>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</si>
  <si>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</si>
  <si>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</si>
  <si>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</si>
  <si>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</si>
  <si>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</si>
  <si>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</si>
  <si>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</si>
  <si>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</si>
  <si>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</si>
  <si>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</si>
  <si>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</si>
  <si>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</si>
  <si>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</si>
  <si>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</si>
  <si>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</si>
  <si>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</si>
  <si>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</si>
  <si>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</si>
  <si>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</si>
  <si>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</si>
  <si>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</si>
  <si>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</si>
  <si>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</si>
  <si>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</si>
  <si>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</si>
  <si>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</si>
  <si>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</si>
  <si>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</si>
  <si>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</si>
  <si>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</si>
  <si>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</si>
  <si>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</si>
  <si>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</si>
  <si>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</si>
  <si>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</si>
  <si>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</si>
  <si>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</si>
  <si>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</si>
  <si>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</si>
  <si>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</si>
  <si>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</si>
  <si>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</si>
  <si>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</si>
  <si>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</si>
  <si>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</si>
  <si>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</si>
  <si>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</si>
  <si>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</si>
  <si>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</si>
  <si>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</si>
  <si>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</si>
  <si>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</si>
  <si>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</si>
  <si>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</si>
  <si>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</si>
  <si>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</si>
  <si>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</si>
  <si>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</si>
  <si>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</si>
  <si>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</si>
  <si>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</si>
  <si>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</si>
  <si>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</si>
  <si>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</si>
  <si>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</si>
  <si>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</si>
  <si>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</si>
  <si>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</si>
  <si>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</si>
  <si>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</si>
  <si>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</si>
  <si>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</si>
  <si>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</si>
  <si>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</si>
  <si>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</si>
  <si>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</si>
  <si>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</si>
  <si>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</si>
  <si>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</si>
  <si>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</si>
  <si>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</si>
  <si>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</si>
  <si>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</si>
  <si>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</si>
  <si>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</si>
  <si>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</si>
  <si>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</si>
  <si>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</si>
  <si>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</si>
  <si>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</si>
  <si>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</si>
  <si>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</si>
  <si>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</si>
  <si>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</si>
  <si>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</si>
  <si>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</si>
  <si>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</si>
  <si>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</si>
  <si>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</si>
  <si>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</si>
  <si>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</si>
  <si>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</si>
  <si>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</si>
  <si>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</si>
  <si>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</si>
  <si>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</si>
  <si>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</si>
  <si>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</si>
  <si>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</si>
  <si>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</si>
  <si>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</si>
  <si>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</si>
  <si>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</si>
  <si>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</si>
  <si>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</si>
  <si>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</si>
  <si>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</si>
  <si>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</si>
  <si>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</si>
  <si>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</si>
  <si>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</si>
  <si>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</si>
  <si>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</si>
  <si>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</si>
  <si>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</si>
  <si>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</si>
  <si>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</si>
  <si>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</si>
  <si>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</si>
  <si>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</si>
  <si>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</si>
  <si>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</si>
  <si>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</si>
  <si>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</si>
  <si>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</si>
  <si>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</si>
  <si>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</si>
  <si>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</si>
  <si>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</si>
  <si>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</si>
  <si>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</si>
  <si>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</si>
  <si>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</si>
  <si>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</si>
  <si>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</si>
  <si>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</si>
  <si>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</si>
  <si>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</si>
  <si>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</si>
  <si>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</si>
  <si>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</si>
  <si>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</si>
  <si>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</si>
  <si>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</si>
  <si>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</si>
  <si>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</si>
  <si>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</si>
  <si>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</si>
  <si>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</si>
  <si>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</si>
  <si>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</si>
  <si>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</si>
  <si>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</si>
  <si>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</si>
  <si>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</si>
  <si>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</si>
  <si>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</si>
  <si>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</si>
  <si>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</si>
  <si>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</si>
  <si>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</si>
  <si>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</si>
  <si>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</si>
  <si>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</si>
  <si>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</si>
  <si>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</si>
  <si>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</si>
  <si>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</si>
  <si>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</si>
  <si>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</si>
  <si>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</si>
  <si>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</si>
  <si>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</si>
  <si>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</si>
  <si>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</si>
  <si>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</si>
  <si>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</si>
  <si>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</si>
  <si>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</si>
  <si>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</si>
  <si>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</si>
  <si>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</si>
  <si>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</si>
  <si>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</si>
  <si>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</si>
  <si>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</si>
  <si>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</si>
  <si>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</si>
  <si>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</si>
  <si>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Xebia</t>
  </si>
  <si>
    <t>School of Electrical Engineering</t>
  </si>
  <si>
    <t>Berlin</t>
  </si>
  <si>
    <t>Vanta</t>
  </si>
  <si>
    <t>Amsterdam</t>
  </si>
  <si>
    <t>Zurich</t>
  </si>
  <si>
    <t>Belgrade</t>
  </si>
  <si>
    <t>License for Microsoft Project</t>
  </si>
  <si>
    <t>License for Modeling Application</t>
  </si>
  <si>
    <t>Testing Software</t>
  </si>
  <si>
    <t>Mini Modems for Smart Trash Cans</t>
  </si>
  <si>
    <t>Sensors for Smart Trash Cans</t>
  </si>
  <si>
    <t>LCD Displays</t>
  </si>
  <si>
    <t>Advertisement material</t>
  </si>
  <si>
    <t>Conference Entry Passes</t>
  </si>
  <si>
    <t>Advertisement videos</t>
  </si>
  <si>
    <t>External verification of system model</t>
  </si>
  <si>
    <t>Chips for Smart Trash Cans</t>
  </si>
  <si>
    <t>Motherboards for Smart Trash Cans</t>
  </si>
  <si>
    <t>Network equipment</t>
  </si>
  <si>
    <t>Customer support materials</t>
  </si>
  <si>
    <t>Swedish Recycling</t>
  </si>
  <si>
    <t>Smart trash cans production (factories)</t>
  </si>
  <si>
    <t>Servers</t>
  </si>
  <si>
    <t>Governmental grant</t>
  </si>
  <si>
    <t>Availability of resources</t>
  </si>
  <si>
    <t>Own resources</t>
  </si>
  <si>
    <t>Field of expertise</t>
  </si>
  <si>
    <t>Server rooms</t>
  </si>
  <si>
    <t>Risk insurance deposit</t>
  </si>
  <si>
    <t xml:space="preserve">In case of unexpected risks or failures </t>
  </si>
  <si>
    <t>License for Statistics Generation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</si>
</sst>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protection locked="0"/>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8" borderId="1" xfId="0" applyFont="1" applyFill="1" applyBorder="1" applyProtection="1"/>
    <xf numFmtId="4" fontId="20" fillId="8" borderId="1" xfId="0" applyNumberFormat="1" applyFont="1" applyFill="1" applyBorder="1" applyProtection="1"/>
    <xf numFmtId="0" fontId="20" fillId="7"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9" borderId="1" xfId="0" applyNumberFormat="1" applyFont="1" applyFill="1" applyBorder="1" applyAlignment="1" applyProtection="1">
      <alignment horizontal="right"/>
    </xf>
    <xf numFmtId="4" fontId="20" fillId="7"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7"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5"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36" fillId="0" borderId="14" xfId="0" applyNumberFormat="1" applyFont="1" applyBorder="1" applyAlignment="1" applyProtection="1">
      <alignment horizontal="right" vertical="center"/>
      <protection hidden="1"/>
    </xf>
    <xf numFmtId="4" fontId="36"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6" fillId="3" borderId="14" xfId="0" applyNumberFormat="1" applyFont="1" applyFill="1" applyBorder="1" applyAlignment="1" applyProtection="1">
      <alignment horizontal="right" vertical="center"/>
      <protection hidden="1"/>
    </xf>
    <xf numFmtId="4" fontId="36"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33"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387">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abSelected="1" zoomScale="85" zoomScaleNormal="85" zoomScaleSheetLayoutView="85" workbookViewId="0">
      <selection activeCell="D28" sqref="D28"/>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4" t="s">
        <v>354</v>
      </c>
      <c r="C7" s="114"/>
      <c r="D7" s="114"/>
      <c r="E7" s="114"/>
      <c r="F7" s="114"/>
      <c r="G7" s="114"/>
      <c r="H7" s="114"/>
      <c r="I7" s="114"/>
      <c r="J7" s="114"/>
      <c r="K7" s="114"/>
    </row>
    <row r="8" spans="2:11" s="6" customFormat="1" ht="24.95" customHeight="1" x14ac:dyDescent="0.25">
      <c r="B8" s="115" t="s">
        <v>339</v>
      </c>
      <c r="C8" s="115"/>
      <c r="D8" s="115"/>
      <c r="E8" s="115"/>
      <c r="F8" s="115"/>
      <c r="G8" s="115"/>
      <c r="H8" s="115"/>
      <c r="I8" s="115"/>
      <c r="J8" s="115"/>
      <c r="K8" s="115"/>
    </row>
    <row r="9" spans="2:11" s="6" customFormat="1" ht="24.95" customHeight="1" x14ac:dyDescent="0.25">
      <c r="B9" s="114" t="s">
        <v>132</v>
      </c>
      <c r="C9" s="114"/>
      <c r="D9" s="114"/>
      <c r="E9" s="114"/>
      <c r="F9" s="114"/>
      <c r="G9" s="114"/>
      <c r="H9" s="114"/>
      <c r="I9" s="114"/>
      <c r="J9" s="114"/>
      <c r="K9" s="114"/>
    </row>
    <row r="10" spans="2:11" s="6" customFormat="1" ht="20.100000000000001" customHeight="1" x14ac:dyDescent="0.25">
      <c r="B10" s="10"/>
      <c r="C10" s="10"/>
      <c r="D10" s="5"/>
      <c r="E10" s="5"/>
      <c r="F10" s="5"/>
      <c r="G10" s="5"/>
      <c r="H10" s="5"/>
      <c r="I10" s="5"/>
      <c r="J10" s="5"/>
    </row>
    <row r="11" spans="2:11" s="6" customFormat="1" ht="18" customHeight="1" x14ac:dyDescent="0.25">
      <c r="B11" s="104" t="s">
        <v>2</v>
      </c>
      <c r="C11" s="104"/>
      <c r="D11" s="11" t="s">
        <v>355</v>
      </c>
      <c r="E11" s="106" t="str">
        <f>IF(D11="","Please select Action Type",IF(OR(D11="Joint Project",D11="Structural Project"),"","Error Type of Action"))</f>
        <v/>
      </c>
      <c r="F11" s="106"/>
      <c r="G11" s="106"/>
      <c r="H11" s="106"/>
      <c r="I11" s="106"/>
      <c r="J11" s="106"/>
      <c r="K11" s="106"/>
    </row>
    <row r="12" spans="2:11" s="6" customFormat="1" ht="18" customHeight="1" x14ac:dyDescent="0.25">
      <c r="B12" s="104" t="s">
        <v>138</v>
      </c>
      <c r="C12" s="104"/>
      <c r="D12" s="11">
        <v>36</v>
      </c>
      <c r="E12" s="106" t="str">
        <f>IF(D12="","Please select duration",IF(OR(D12=24,D12=36),"","Error duration"))</f>
        <v/>
      </c>
      <c r="F12" s="106"/>
      <c r="G12" s="106"/>
      <c r="H12" s="106"/>
      <c r="I12" s="106"/>
      <c r="J12" s="106"/>
      <c r="K12" s="106"/>
    </row>
    <row r="13" spans="2:11" s="6" customFormat="1" ht="18" customHeight="1" x14ac:dyDescent="0.25">
      <c r="B13" s="104" t="s">
        <v>171</v>
      </c>
      <c r="C13" s="104"/>
      <c r="D13" s="11" t="s">
        <v>356</v>
      </c>
      <c r="E13" s="106" t="str">
        <f>IF(D13="","Please fill in Project Acronym","")</f>
        <v/>
      </c>
      <c r="F13" s="106"/>
      <c r="G13" s="106"/>
      <c r="H13" s="106"/>
      <c r="I13" s="106"/>
      <c r="J13" s="106"/>
      <c r="K13" s="106"/>
    </row>
    <row r="14" spans="2:11" s="6" customFormat="1" ht="18" customHeight="1" x14ac:dyDescent="0.25">
      <c r="B14" s="104" t="s">
        <v>172</v>
      </c>
      <c r="C14" s="104"/>
      <c r="D14" s="107" t="s">
        <v>357</v>
      </c>
      <c r="E14" s="108"/>
      <c r="F14" s="108"/>
      <c r="G14" s="108"/>
      <c r="H14" s="108"/>
      <c r="I14" s="108"/>
      <c r="J14" s="108"/>
      <c r="K14" s="109"/>
    </row>
    <row r="15" spans="2:11" s="6" customFormat="1" ht="20.100000000000001" customHeight="1" x14ac:dyDescent="0.25">
      <c r="B15" s="5"/>
      <c r="C15" s="5"/>
      <c r="D15" s="5"/>
      <c r="E15" s="5"/>
      <c r="F15" s="12"/>
      <c r="G15" s="5"/>
      <c r="H15" s="5"/>
      <c r="I15" s="5"/>
      <c r="J15" s="5"/>
    </row>
    <row r="16" spans="2:11" s="6" customFormat="1" ht="24.95" customHeight="1" x14ac:dyDescent="0.25">
      <c r="B16" s="105" t="s">
        <v>224</v>
      </c>
      <c r="C16" s="105"/>
      <c r="D16" s="105"/>
      <c r="E16" s="105"/>
      <c r="F16" s="105"/>
      <c r="G16" s="105"/>
      <c r="H16" s="105"/>
      <c r="I16" s="105"/>
      <c r="J16" s="105"/>
      <c r="K16" s="105"/>
    </row>
    <row r="17" spans="2:11" s="6" customFormat="1" x14ac:dyDescent="0.25">
      <c r="B17" s="104" t="s">
        <v>168</v>
      </c>
      <c r="C17" s="104"/>
      <c r="D17" s="13">
        <f>'1. Staff costs'!D9</f>
        <v>399376</v>
      </c>
      <c r="E17" s="112" t="str">
        <f>"Cannot exceed 40% of total Grant requested"</f>
        <v>Cannot exceed 40% of total Grant requested</v>
      </c>
      <c r="F17" s="113"/>
      <c r="G17" s="113"/>
      <c r="H17" s="113"/>
      <c r="I17" s="110" t="str">
        <f>IF(COUNTIF('1. Staff costs'!T:T,"Error")&lt;=1,"","Please check data in Tab '1. Staff Costs'")</f>
        <v/>
      </c>
      <c r="J17" s="110"/>
      <c r="K17" s="111"/>
    </row>
    <row r="18" spans="2:11" s="6" customFormat="1" x14ac:dyDescent="0.25">
      <c r="B18" s="104" t="s">
        <v>343</v>
      </c>
      <c r="C18" s="104"/>
      <c r="D18" s="13">
        <f>'2-3. Travel Costs&amp;Costs of Stay'!D8+IF(OR(C26="",D26=""),0,'2-3. Travel Costs&amp;Costs of Stay'!J4)</f>
        <v>35405</v>
      </c>
      <c r="E18" s="112"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13"/>
      <c r="G18" s="113"/>
      <c r="H18" s="113"/>
      <c r="I18" s="110" t="str">
        <f>IF(COUNTIF('2-3. Travel Costs&amp;Costs of Stay'!O:O,"Error")&lt;=1,"","Please check data in Tab '2-3. Travel Costs&amp;Costs of Stay'")</f>
        <v/>
      </c>
      <c r="J18" s="110"/>
      <c r="K18" s="111"/>
    </row>
    <row r="19" spans="2:11" s="6" customFormat="1" x14ac:dyDescent="0.25">
      <c r="B19" s="104" t="s">
        <v>189</v>
      </c>
      <c r="C19" s="104"/>
      <c r="D19" s="13">
        <f>'2-3. Travel Costs&amp;Costs of Stay'!D9</f>
        <v>267180</v>
      </c>
      <c r="E19" s="121"/>
      <c r="F19" s="122"/>
      <c r="G19" s="122"/>
      <c r="H19" s="122"/>
      <c r="I19" s="110" t="str">
        <f>IF(COUNTIF('2-3. Travel Costs&amp;Costs of Stay'!O:O,"Error")&lt;=1,"","Please check data in Tab '2-3. Travel Costs&amp;Costs of Stay'")</f>
        <v/>
      </c>
      <c r="J19" s="110"/>
      <c r="K19" s="111"/>
    </row>
    <row r="20" spans="2:11" s="6" customFormat="1" x14ac:dyDescent="0.25">
      <c r="B20" s="104" t="s">
        <v>187</v>
      </c>
      <c r="C20" s="104"/>
      <c r="D20" s="13">
        <f>'4. Equipment Costs'!C4</f>
        <v>198799.99999999994</v>
      </c>
      <c r="E20" s="112" t="str">
        <f>"Cannot exceed 30% of Total Grant requested"</f>
        <v>Cannot exceed 30% of Total Grant requested</v>
      </c>
      <c r="F20" s="113"/>
      <c r="G20" s="113"/>
      <c r="H20" s="113"/>
      <c r="I20" s="110" t="str">
        <f>IF(COUNTIF('4. Equipment Costs'!I:T,"Error")&lt;=1,"","Please check data in Tab '4. Equipment Costs''")</f>
        <v/>
      </c>
      <c r="J20" s="110"/>
      <c r="K20" s="111"/>
    </row>
    <row r="21" spans="2:11" s="6" customFormat="1" x14ac:dyDescent="0.25">
      <c r="B21" s="104" t="s">
        <v>188</v>
      </c>
      <c r="C21" s="104"/>
      <c r="D21" s="13">
        <f>'5. Subcontracting Costs'!C4</f>
        <v>99000</v>
      </c>
      <c r="E21" s="112" t="str">
        <f>"Cannot exceed 10% of Total Grant requested"</f>
        <v>Cannot exceed 10% of Total Grant requested</v>
      </c>
      <c r="F21" s="113"/>
      <c r="G21" s="113"/>
      <c r="H21" s="113"/>
      <c r="I21" s="110" t="str">
        <f>IF(COUNTIF('5. Subcontracting Costs'!I:I,"Error")&lt;=1,"","Please check data in Tab '5. Subcontracting Costs'")</f>
        <v/>
      </c>
      <c r="J21" s="110"/>
      <c r="K21" s="111"/>
    </row>
    <row r="22" spans="2:11" ht="24.95" customHeight="1" x14ac:dyDescent="0.25">
      <c r="B22" s="116" t="s">
        <v>336</v>
      </c>
      <c r="C22" s="116"/>
      <c r="D22" s="14">
        <f>SUM(D17:D21)</f>
        <v>999761</v>
      </c>
      <c r="E22" s="117" t="str">
        <f>"Should be equal or above EUR 500.000,00 and cannot exceed EUR 1.000.000,00"</f>
        <v>Should be equal or above EUR 500.000,00 and cannot exceed EUR 1.000.000,00</v>
      </c>
      <c r="F22" s="118"/>
      <c r="G22" s="118"/>
      <c r="H22" s="118"/>
      <c r="I22" s="119" t="str">
        <f>IF(OR(COUNTIF('Co-financing'!J:J,"Error")&lt;=1,AND('Co-financing'!B14="",'Co-financing'!E14="",'Co-financing'!F14="",'Co-financing'!G14="",'Co-financing'!H14=0)),"","Please check data in Tab 'Co-financing'")</f>
        <v/>
      </c>
      <c r="J22" s="119"/>
      <c r="K22" s="120"/>
    </row>
    <row r="23" spans="2:11" s="6" customFormat="1" ht="20.100000000000001" customHeight="1" x14ac:dyDescent="0.25">
      <c r="B23" s="5"/>
      <c r="C23" s="5"/>
      <c r="D23" s="5"/>
      <c r="E23" s="5"/>
      <c r="F23" s="12"/>
      <c r="G23" s="5"/>
      <c r="H23" s="5"/>
      <c r="I23" s="5"/>
      <c r="J23" s="5"/>
    </row>
    <row r="24" spans="2:11" s="6" customFormat="1" ht="24.95" customHeight="1" x14ac:dyDescent="0.25">
      <c r="B24" s="105" t="s">
        <v>181</v>
      </c>
      <c r="C24" s="105"/>
      <c r="D24" s="105"/>
      <c r="E24" s="105"/>
      <c r="F24" s="105"/>
      <c r="G24" s="105"/>
      <c r="H24" s="105"/>
      <c r="I24" s="105"/>
      <c r="J24" s="105"/>
      <c r="K24" s="105"/>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358</v>
      </c>
      <c r="D26" s="19" t="s">
        <v>36</v>
      </c>
      <c r="E26" s="20" t="str">
        <f t="shared" ref="E26:E80" si="0">IFERROR(IF(D26&lt;&gt;"",VLOOKUP(D26,CountryType,2,FALSE),""),"Country not found")</f>
        <v>Programme Countries</v>
      </c>
      <c r="F26" s="21">
        <f>SUMIF('1. Staff costs'!C:C,B26,'1. Staff costs'!S:S)</f>
        <v>143632</v>
      </c>
      <c r="G26" s="21">
        <f>SUMIF('2-3. Travel Costs&amp;Costs of Stay'!C:C,B26,'2-3. Travel Costs&amp;Costs of Stay'!L:L)+IF(OR(C26="",D26=""),0,'2-3. Travel Costs&amp;Costs of Stay'!J4)</f>
        <v>15880</v>
      </c>
      <c r="H26" s="21">
        <f>SUMIF('2-3. Travel Costs&amp;Costs of Stay'!C:C,B26,'2-3. Travel Costs&amp;Costs of Stay'!M:M)</f>
        <v>71300</v>
      </c>
      <c r="I26" s="21">
        <f>SUMIF('4. Equipment Costs'!C:C,B26,'4. Equipment Costs'!H:H)</f>
        <v>0</v>
      </c>
      <c r="J26" s="21">
        <f>SUMIF('5. Subcontracting Costs'!C:C,B26,'5. Subcontracting Costs'!H:H)</f>
        <v>5333.33</v>
      </c>
      <c r="K26" s="22">
        <f t="shared" ref="K26:K57" si="1">IF(OR(C26="",D26=""),0,SUM(F26:J26))</f>
        <v>236145.33</v>
      </c>
    </row>
    <row r="27" spans="2:11" x14ac:dyDescent="0.25">
      <c r="B27" s="52" t="s">
        <v>9</v>
      </c>
      <c r="C27" s="23" t="s">
        <v>359</v>
      </c>
      <c r="D27" s="19" t="s">
        <v>34</v>
      </c>
      <c r="E27" s="20" t="str">
        <f t="shared" si="0"/>
        <v>Programme Countries</v>
      </c>
      <c r="F27" s="21">
        <f>SUMIF('1. Staff costs'!C:C,B27,'1. Staff costs'!S:S)</f>
        <v>64970</v>
      </c>
      <c r="G27" s="21">
        <f>SUMIF('2-3. Travel Costs&amp;Costs of Stay'!C:C,B27,'2-3. Travel Costs&amp;Costs of Stay'!L:L)</f>
        <v>5775</v>
      </c>
      <c r="H27" s="21">
        <f>SUMIF('2-3. Travel Costs&amp;Costs of Stay'!C:C,B27,'2-3. Travel Costs&amp;Costs of Stay'!M:M)</f>
        <v>80850</v>
      </c>
      <c r="I27" s="21">
        <f>SUMIF('4. Equipment Costs'!C:C,B27,'4. Equipment Costs'!H:H)</f>
        <v>0</v>
      </c>
      <c r="J27" s="21">
        <f>SUMIF('5. Subcontracting Costs'!C:C,B27,'5. Subcontracting Costs'!H:H)</f>
        <v>80000</v>
      </c>
      <c r="K27" s="22">
        <f t="shared" si="1"/>
        <v>231595</v>
      </c>
    </row>
    <row r="28" spans="2:11" x14ac:dyDescent="0.25">
      <c r="B28" s="52" t="s">
        <v>10</v>
      </c>
      <c r="C28" s="23" t="s">
        <v>381</v>
      </c>
      <c r="D28" s="19" t="s">
        <v>33</v>
      </c>
      <c r="E28" s="20" t="str">
        <f t="shared" si="0"/>
        <v>Programme Countries</v>
      </c>
      <c r="F28" s="21">
        <f>SUMIF('1. Staff costs'!C:C,B28,'1. Staff costs'!S:S)</f>
        <v>78708</v>
      </c>
      <c r="G28" s="21">
        <f>SUMIF('2-3. Travel Costs&amp;Costs of Stay'!C:C,B28,'2-3. Travel Costs&amp;Costs of Stay'!L:L)</f>
        <v>5225</v>
      </c>
      <c r="H28" s="21">
        <f>SUMIF('2-3. Travel Costs&amp;Costs of Stay'!C:C,B28,'2-3. Travel Costs&amp;Costs of Stay'!M:M)</f>
        <v>45890</v>
      </c>
      <c r="I28" s="21">
        <f>SUMIF('4. Equipment Costs'!C:C,B28,'4. Equipment Costs'!H:H)</f>
        <v>0</v>
      </c>
      <c r="J28" s="21">
        <f>SUMIF('5. Subcontracting Costs'!C:C,B28,'5. Subcontracting Costs'!H:H)</f>
        <v>13666.67</v>
      </c>
      <c r="K28" s="22">
        <f t="shared" si="1"/>
        <v>143489.67000000001</v>
      </c>
    </row>
    <row r="29" spans="2:11" x14ac:dyDescent="0.25">
      <c r="B29" s="52" t="s">
        <v>11</v>
      </c>
      <c r="C29" s="23" t="s">
        <v>360</v>
      </c>
      <c r="D29" s="19" t="s">
        <v>31</v>
      </c>
      <c r="E29" s="20" t="str">
        <f t="shared" si="0"/>
        <v>Programme Countries</v>
      </c>
      <c r="F29" s="21">
        <f>SUMIF('1. Staff costs'!C:C,B29,'1. Staff costs'!S:S)</f>
        <v>95632</v>
      </c>
      <c r="G29" s="21">
        <f>SUMIF('2-3. Travel Costs&amp;Costs of Stay'!C:C,B29,'2-3. Travel Costs&amp;Costs of Stay'!L:L)</f>
        <v>3300</v>
      </c>
      <c r="H29" s="21">
        <f>SUMIF('2-3. Travel Costs&amp;Costs of Stay'!C:C,B29,'2-3. Travel Costs&amp;Costs of Stay'!M:M)</f>
        <v>21390</v>
      </c>
      <c r="I29" s="21">
        <f>SUMIF('4. Equipment Costs'!C:C,B29,'4. Equipment Costs'!H:H)</f>
        <v>0</v>
      </c>
      <c r="J29" s="21">
        <f>SUMIF('5. Subcontracting Costs'!C:C,B29,'5. Subcontracting Costs'!H:H)</f>
        <v>0</v>
      </c>
      <c r="K29" s="22">
        <f t="shared" si="1"/>
        <v>120322</v>
      </c>
    </row>
    <row r="30" spans="2:11" x14ac:dyDescent="0.25">
      <c r="B30" s="52" t="s">
        <v>12</v>
      </c>
      <c r="C30" s="23" t="s">
        <v>361</v>
      </c>
      <c r="D30" s="19" t="s">
        <v>99</v>
      </c>
      <c r="E30" s="20" t="str">
        <f t="shared" si="0"/>
        <v>Partner Countries</v>
      </c>
      <c r="F30" s="21">
        <f>SUMIF('1. Staff costs'!C:C,B30,'1. Staff costs'!S:S)</f>
        <v>16434</v>
      </c>
      <c r="G30" s="21">
        <f>SUMIF('2-3. Travel Costs&amp;Costs of Stay'!C:C,B30,'2-3. Travel Costs&amp;Costs of Stay'!L:L)</f>
        <v>5225</v>
      </c>
      <c r="H30" s="21">
        <f>SUMIF('2-3. Travel Costs&amp;Costs of Stay'!C:C,B30,'2-3. Travel Costs&amp;Costs of Stay'!M:M)</f>
        <v>47750</v>
      </c>
      <c r="I30" s="21">
        <f>SUMIF('4. Equipment Costs'!C:C,B30,'4. Equipment Costs'!H:H)</f>
        <v>198799.99999999994</v>
      </c>
      <c r="J30" s="21">
        <f>SUMIF('5. Subcontracting Costs'!C:C,B30,'5. Subcontracting Costs'!H:H)</f>
        <v>0</v>
      </c>
      <c r="K30" s="22">
        <f t="shared" si="1"/>
        <v>268208.99999999994</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 ref="B7:K7"/>
    <mergeCell ref="B8:K8"/>
    <mergeCell ref="B9:K9"/>
    <mergeCell ref="B11:C11"/>
    <mergeCell ref="B12:C12"/>
    <mergeCell ref="E11:K11"/>
    <mergeCell ref="B13:C13"/>
    <mergeCell ref="B16:K16"/>
    <mergeCell ref="B17:C17"/>
    <mergeCell ref="E13:K13"/>
    <mergeCell ref="E12:K12"/>
    <mergeCell ref="B14:C14"/>
    <mergeCell ref="D14:K14"/>
    <mergeCell ref="I17:K17"/>
    <mergeCell ref="E17:H17"/>
  </mergeCells>
  <conditionalFormatting sqref="D17">
    <cfRule type="expression" dxfId="386" priority="18">
      <formula>D17&gt;ROUND(D22*0.4,2)</formula>
    </cfRule>
  </conditionalFormatting>
  <conditionalFormatting sqref="D20">
    <cfRule type="expression" dxfId="385" priority="16">
      <formula>D20&gt;ROUND(D22*0.3,2)</formula>
    </cfRule>
  </conditionalFormatting>
  <conditionalFormatting sqref="D21">
    <cfRule type="expression" dxfId="384" priority="14">
      <formula>D21&gt;ROUND(D22*0.1,2)</formula>
    </cfRule>
  </conditionalFormatting>
  <conditionalFormatting sqref="D22">
    <cfRule type="cellIs" dxfId="383" priority="12" operator="notBetween">
      <formula>500000</formula>
      <formula>1000000</formula>
    </cfRule>
  </conditionalFormatting>
  <conditionalFormatting sqref="E18 I18">
    <cfRule type="cellIs" dxfId="382" priority="2" operator="equal">
      <formula>"Exceptional travel costs exceed 80% of total travel costs"</formula>
    </cfRule>
  </conditionalFormatting>
  <conditionalFormatting sqref="I19">
    <cfRule type="cellIs" dxfId="381"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OK</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OK</v>
      </c>
    </row>
    <row r="7" spans="1:2" x14ac:dyDescent="0.25">
      <c r="A7" s="99" t="s">
        <v>347</v>
      </c>
      <c r="B7" s="103" t="str">
        <f>IF('2-3. Travel Costs&amp;Costs of Stay'!K4="","OK","Please check Exceptional Travel Costs (EUR) in Tab '"&amp;A3&amp;"'")</f>
        <v>OK</v>
      </c>
    </row>
  </sheetData>
  <conditionalFormatting sqref="B2:B7">
    <cfRule type="cellIs" dxfId="379" priority="5" operator="notEqual">
      <formula>"OK"</formula>
    </cfRule>
    <cfRule type="cellIs" dxfId="378"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8"/>
  <sheetViews>
    <sheetView showGridLines="0" zoomScale="70" zoomScaleNormal="70" zoomScaleSheetLayoutView="55" workbookViewId="0">
      <pane ySplit="13" topLeftCell="A14" activePane="bottomLeft" state="frozen"/>
      <selection pane="bottomLeft" activeCell="O34" sqref="O3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34" t="s">
        <v>168</v>
      </c>
      <c r="C2" s="134"/>
      <c r="D2" s="134"/>
      <c r="E2" s="134"/>
      <c r="F2" s="134"/>
      <c r="G2" s="134"/>
      <c r="H2" s="134"/>
      <c r="I2" s="134"/>
      <c r="J2" s="134"/>
      <c r="K2" s="134"/>
      <c r="L2" s="134"/>
      <c r="M2" s="134"/>
      <c r="N2" s="134"/>
      <c r="O2" s="134"/>
      <c r="P2" s="134"/>
      <c r="Q2" s="134"/>
      <c r="R2" s="134"/>
      <c r="S2" s="134"/>
      <c r="T2" s="134"/>
    </row>
    <row r="3" spans="2:20" s="25" customFormat="1" ht="8.1" customHeight="1" x14ac:dyDescent="0.25">
      <c r="B3" s="131"/>
      <c r="C3" s="132"/>
      <c r="D3" s="132"/>
      <c r="E3" s="132"/>
      <c r="F3" s="132"/>
      <c r="G3" s="132"/>
      <c r="H3" s="132"/>
      <c r="I3" s="132"/>
      <c r="J3" s="132"/>
      <c r="K3" s="132"/>
      <c r="L3" s="132"/>
      <c r="M3" s="132"/>
      <c r="N3" s="132"/>
      <c r="O3" s="132"/>
      <c r="P3" s="132"/>
      <c r="Q3" s="132"/>
      <c r="R3" s="132"/>
      <c r="S3" s="132"/>
      <c r="T3" s="133"/>
    </row>
    <row r="4" spans="2:20" s="25" customFormat="1" ht="20.100000000000001" customHeight="1" x14ac:dyDescent="0.25">
      <c r="B4" s="128"/>
      <c r="C4" s="130"/>
      <c r="D4" s="48" t="s">
        <v>186</v>
      </c>
      <c r="E4" s="48" t="s">
        <v>184</v>
      </c>
      <c r="F4" s="125"/>
      <c r="G4" s="126"/>
      <c r="H4" s="126"/>
      <c r="I4" s="126"/>
      <c r="J4" s="126"/>
      <c r="K4" s="126"/>
      <c r="L4" s="126"/>
      <c r="M4" s="126"/>
      <c r="N4" s="126"/>
      <c r="O4" s="126"/>
      <c r="P4" s="126"/>
      <c r="Q4" s="126"/>
      <c r="R4" s="126"/>
      <c r="S4" s="126"/>
      <c r="T4" s="127"/>
    </row>
    <row r="5" spans="2:20" s="25" customFormat="1" ht="20.100000000000001" customHeight="1" x14ac:dyDescent="0.25">
      <c r="B5" s="139" t="s">
        <v>133</v>
      </c>
      <c r="C5" s="140"/>
      <c r="D5" s="49">
        <f>SUM(H:H)</f>
        <v>59704</v>
      </c>
      <c r="E5" s="31">
        <f>SUMIF(T:T,"&lt;&gt;Error",F:F)</f>
        <v>217</v>
      </c>
      <c r="F5" s="125"/>
      <c r="G5" s="126"/>
      <c r="H5" s="126"/>
      <c r="I5" s="126"/>
      <c r="J5" s="126"/>
      <c r="K5" s="126"/>
      <c r="L5" s="126"/>
      <c r="M5" s="126"/>
      <c r="N5" s="126"/>
      <c r="O5" s="126"/>
      <c r="P5" s="126"/>
      <c r="Q5" s="126"/>
      <c r="R5" s="126"/>
      <c r="S5" s="126"/>
      <c r="T5" s="127"/>
    </row>
    <row r="6" spans="2:20" s="25" customFormat="1" ht="20.100000000000001" customHeight="1" x14ac:dyDescent="0.25">
      <c r="B6" s="141" t="s">
        <v>131</v>
      </c>
      <c r="C6" s="142"/>
      <c r="D6" s="49">
        <f>SUM(K:K)</f>
        <v>123671</v>
      </c>
      <c r="E6" s="31">
        <f>SUMIF(T:T,"&lt;&gt;Error",I:I)</f>
        <v>602</v>
      </c>
      <c r="F6" s="125"/>
      <c r="G6" s="126"/>
      <c r="H6" s="126"/>
      <c r="I6" s="126"/>
      <c r="J6" s="126"/>
      <c r="K6" s="126"/>
      <c r="L6" s="126"/>
      <c r="M6" s="126"/>
      <c r="N6" s="126"/>
      <c r="O6" s="126"/>
      <c r="P6" s="126"/>
      <c r="Q6" s="126"/>
      <c r="R6" s="126"/>
      <c r="S6" s="126"/>
      <c r="T6" s="127"/>
    </row>
    <row r="7" spans="2:20" s="25" customFormat="1" ht="20.100000000000001" customHeight="1" x14ac:dyDescent="0.25">
      <c r="B7" s="139" t="s">
        <v>318</v>
      </c>
      <c r="C7" s="140"/>
      <c r="D7" s="49">
        <f>SUM(N:N)</f>
        <v>201464</v>
      </c>
      <c r="E7" s="31">
        <f>SUMIF(T:T,"&lt;&gt;Error",L:L)</f>
        <v>1250</v>
      </c>
      <c r="F7" s="125"/>
      <c r="G7" s="126"/>
      <c r="H7" s="126"/>
      <c r="I7" s="126"/>
      <c r="J7" s="126"/>
      <c r="K7" s="126"/>
      <c r="L7" s="126"/>
      <c r="M7" s="126"/>
      <c r="N7" s="126"/>
      <c r="O7" s="126"/>
      <c r="P7" s="126"/>
      <c r="Q7" s="126"/>
      <c r="R7" s="126"/>
      <c r="S7" s="126"/>
      <c r="T7" s="127"/>
    </row>
    <row r="8" spans="2:20" s="25" customFormat="1" ht="20.100000000000001" customHeight="1" x14ac:dyDescent="0.25">
      <c r="B8" s="139" t="s">
        <v>317</v>
      </c>
      <c r="C8" s="140"/>
      <c r="D8" s="49">
        <f>SUM(Q:Q)</f>
        <v>14537</v>
      </c>
      <c r="E8" s="31">
        <f>SUMIF(T:T,"&lt;&gt;Error",O:O)</f>
        <v>109</v>
      </c>
      <c r="F8" s="125"/>
      <c r="G8" s="126"/>
      <c r="H8" s="126"/>
      <c r="I8" s="126"/>
      <c r="J8" s="126"/>
      <c r="K8" s="126"/>
      <c r="L8" s="126"/>
      <c r="M8" s="126"/>
      <c r="N8" s="126"/>
      <c r="O8" s="126"/>
      <c r="P8" s="126"/>
      <c r="Q8" s="126"/>
      <c r="R8" s="126"/>
      <c r="S8" s="126"/>
      <c r="T8" s="127"/>
    </row>
    <row r="9" spans="2:20" s="25" customFormat="1" ht="20.100000000000001" customHeight="1" x14ac:dyDescent="0.25">
      <c r="B9" s="143"/>
      <c r="C9" s="144"/>
      <c r="D9" s="33">
        <f>SUM(D5:D8)</f>
        <v>399376</v>
      </c>
      <c r="E9" s="32">
        <f>SUM(E5:E8)</f>
        <v>2178</v>
      </c>
      <c r="F9" s="125"/>
      <c r="G9" s="126"/>
      <c r="H9" s="126"/>
      <c r="I9" s="126"/>
      <c r="J9" s="126"/>
      <c r="K9" s="126"/>
      <c r="L9" s="126"/>
      <c r="M9" s="126"/>
      <c r="N9" s="126"/>
      <c r="O9" s="126"/>
      <c r="P9" s="126"/>
      <c r="Q9" s="126"/>
      <c r="R9" s="126"/>
      <c r="S9" s="126"/>
      <c r="T9" s="127"/>
    </row>
    <row r="10" spans="2:20" s="25" customFormat="1" ht="8.1" customHeight="1" x14ac:dyDescent="0.25">
      <c r="B10" s="128"/>
      <c r="C10" s="129"/>
      <c r="D10" s="129"/>
      <c r="E10" s="129"/>
      <c r="F10" s="129"/>
      <c r="G10" s="129"/>
      <c r="H10" s="129"/>
      <c r="I10" s="129"/>
      <c r="J10" s="129"/>
      <c r="K10" s="129"/>
      <c r="L10" s="129"/>
      <c r="M10" s="129"/>
      <c r="N10" s="129"/>
      <c r="O10" s="129"/>
      <c r="P10" s="129"/>
      <c r="Q10" s="129"/>
      <c r="R10" s="129"/>
      <c r="S10" s="129"/>
      <c r="T10" s="130"/>
    </row>
    <row r="11" spans="2:20" s="53" customFormat="1" ht="23.1" customHeight="1" x14ac:dyDescent="0.25">
      <c r="B11" s="123" t="s">
        <v>164</v>
      </c>
      <c r="C11" s="123" t="s">
        <v>149</v>
      </c>
      <c r="D11" s="123" t="s">
        <v>218</v>
      </c>
      <c r="E11" s="123" t="s">
        <v>219</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23" t="s">
        <v>200</v>
      </c>
      <c r="S11" s="123" t="s">
        <v>165</v>
      </c>
      <c r="T11" s="123" t="s">
        <v>220</v>
      </c>
    </row>
    <row r="12" spans="2:20" s="53" customFormat="1" ht="42" customHeight="1" x14ac:dyDescent="0.25">
      <c r="B12" s="124"/>
      <c r="C12" s="124"/>
      <c r="D12" s="124"/>
      <c r="E12" s="124"/>
      <c r="F12" s="54" t="s">
        <v>209</v>
      </c>
      <c r="G12" s="34" t="s">
        <v>213</v>
      </c>
      <c r="H12" s="54" t="s">
        <v>166</v>
      </c>
      <c r="I12" s="54" t="s">
        <v>209</v>
      </c>
      <c r="J12" s="34" t="s">
        <v>213</v>
      </c>
      <c r="K12" s="54" t="s">
        <v>166</v>
      </c>
      <c r="L12" s="54" t="s">
        <v>209</v>
      </c>
      <c r="M12" s="34" t="s">
        <v>213</v>
      </c>
      <c r="N12" s="54" t="s">
        <v>166</v>
      </c>
      <c r="O12" s="54" t="s">
        <v>209</v>
      </c>
      <c r="P12" s="34" t="s">
        <v>213</v>
      </c>
      <c r="Q12" s="54" t="s">
        <v>166</v>
      </c>
      <c r="R12" s="124"/>
      <c r="S12" s="124"/>
      <c r="T12" s="124"/>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25">
      <c r="B14" s="19" t="s">
        <v>175</v>
      </c>
      <c r="C14" s="24" t="s">
        <v>8</v>
      </c>
      <c r="D14" s="50" t="str">
        <f t="shared" si="0"/>
        <v xml:space="preserve">Bundesministerium für Umwelt, Naturschutz und nukleare Sicherheit </v>
      </c>
      <c r="E14" s="50" t="str">
        <f t="shared" si="1"/>
        <v>Germany</v>
      </c>
      <c r="F14" s="35">
        <v>15</v>
      </c>
      <c r="G14" s="36">
        <f t="shared" si="2"/>
        <v>280</v>
      </c>
      <c r="H14" s="37">
        <f t="shared" si="3"/>
        <v>4200</v>
      </c>
      <c r="I14" s="35">
        <v>15</v>
      </c>
      <c r="J14" s="36">
        <f t="shared" si="4"/>
        <v>214</v>
      </c>
      <c r="K14" s="37">
        <f t="shared" si="5"/>
        <v>3210</v>
      </c>
      <c r="L14" s="35">
        <v>30</v>
      </c>
      <c r="M14" s="36">
        <f t="shared" si="6"/>
        <v>162</v>
      </c>
      <c r="N14" s="37">
        <f t="shared" si="7"/>
        <v>4860</v>
      </c>
      <c r="O14" s="35">
        <v>3</v>
      </c>
      <c r="P14" s="36">
        <f t="shared" si="8"/>
        <v>131</v>
      </c>
      <c r="Q14" s="37">
        <f t="shared" si="9"/>
        <v>393</v>
      </c>
      <c r="R14" s="38">
        <f t="shared" si="10"/>
        <v>63</v>
      </c>
      <c r="S14" s="39">
        <f t="shared" si="11"/>
        <v>12663</v>
      </c>
      <c r="T14" s="40" t="str">
        <f t="shared" si="12"/>
        <v/>
      </c>
    </row>
    <row r="15" spans="2:20" s="41" customFormat="1" x14ac:dyDescent="0.25">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v>
      </c>
      <c r="G15" s="36">
        <f t="shared" ref="G15:G18" si="15">IF(T15="Error",0,INDEX(Rates,MATCH(E15,CountryALL,0),MATCH($F$11,Category,0)))</f>
        <v>280</v>
      </c>
      <c r="H15" s="37">
        <f t="shared" ref="H15:H18" si="16">IFERROR(IF(T15="Error",0,ROUND(F15*G15,2)),0)</f>
        <v>1400</v>
      </c>
      <c r="I15" s="35">
        <v>35</v>
      </c>
      <c r="J15" s="36">
        <f t="shared" ref="J15:J18" si="17">IF(T15="Error",0,INDEX(Rates,MATCH(E15,CountryALL,0),MATCH($I$11,Category,0)))</f>
        <v>214</v>
      </c>
      <c r="K15" s="37">
        <f t="shared" ref="K15:K18" si="18">IFERROR(IF(T15="Error",0,ROUND(I15*J15,2)),0)</f>
        <v>7490</v>
      </c>
      <c r="L15" s="35">
        <v>80</v>
      </c>
      <c r="M15" s="36">
        <f t="shared" ref="M15:M18" si="19">IF(T15="Error",0,INDEX(Rates,MATCH(E15,CountryALL,0),MATCH($L$11,Category,0)))</f>
        <v>162</v>
      </c>
      <c r="N15" s="37">
        <f t="shared" ref="N15:N18" si="20">IFERROR(IF(T15="Error",0,ROUND(L15*M15,2)),0)</f>
        <v>12960</v>
      </c>
      <c r="O15" s="35">
        <v>3</v>
      </c>
      <c r="P15" s="36">
        <f t="shared" ref="P15:P18" si="21">IF(T15="Error",0,INDEX(Rates,MATCH(E15,CountryALL,0),MATCH($O$11,Category,0)))</f>
        <v>131</v>
      </c>
      <c r="Q15" s="37">
        <f t="shared" ref="Q15:Q18" si="22">IFERROR(IF(T15="Error",0,ROUND(O15*P15,2)),0)</f>
        <v>393</v>
      </c>
      <c r="R15" s="38">
        <f t="shared" ref="R15:R18" si="23">IF(T15="Error",0,F15+I15+L15+O15)</f>
        <v>123</v>
      </c>
      <c r="S15" s="39">
        <f t="shared" ref="S15:S18" si="24">IF(T15="Error",0,H15+K15+N15+Q15)</f>
        <v>22243</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Swedish Recycling</v>
      </c>
      <c r="E16" s="50" t="str">
        <f t="shared" si="14"/>
        <v>Sweden</v>
      </c>
      <c r="F16" s="35">
        <v>10</v>
      </c>
      <c r="G16" s="36">
        <f t="shared" si="15"/>
        <v>294</v>
      </c>
      <c r="H16" s="37">
        <f t="shared" si="16"/>
        <v>2940</v>
      </c>
      <c r="I16" s="35">
        <v>15</v>
      </c>
      <c r="J16" s="36">
        <f t="shared" si="17"/>
        <v>241</v>
      </c>
      <c r="K16" s="37">
        <f t="shared" si="18"/>
        <v>3615</v>
      </c>
      <c r="L16" s="35">
        <v>30</v>
      </c>
      <c r="M16" s="36">
        <f t="shared" si="19"/>
        <v>190</v>
      </c>
      <c r="N16" s="37">
        <f t="shared" si="20"/>
        <v>5700</v>
      </c>
      <c r="O16" s="35">
        <v>3</v>
      </c>
      <c r="P16" s="36">
        <f t="shared" si="21"/>
        <v>157</v>
      </c>
      <c r="Q16" s="37">
        <f t="shared" si="22"/>
        <v>471</v>
      </c>
      <c r="R16" s="38">
        <f t="shared" si="23"/>
        <v>58</v>
      </c>
      <c r="S16" s="39">
        <f t="shared" si="24"/>
        <v>12726</v>
      </c>
      <c r="T16" s="40" t="str">
        <f t="shared" si="25"/>
        <v/>
      </c>
    </row>
    <row r="17" spans="2:20" s="41" customFormat="1" x14ac:dyDescent="0.25">
      <c r="B17" s="19" t="s">
        <v>175</v>
      </c>
      <c r="C17" s="24" t="s">
        <v>11</v>
      </c>
      <c r="D17" s="50" t="str">
        <f t="shared" si="13"/>
        <v>Xebia</v>
      </c>
      <c r="E17" s="50" t="str">
        <f t="shared" si="14"/>
        <v>Netherlands</v>
      </c>
      <c r="F17" s="35">
        <v>5</v>
      </c>
      <c r="G17" s="36">
        <f t="shared" si="15"/>
        <v>294</v>
      </c>
      <c r="H17" s="37">
        <f t="shared" si="16"/>
        <v>1470</v>
      </c>
      <c r="I17" s="35">
        <v>35</v>
      </c>
      <c r="J17" s="36">
        <f t="shared" si="17"/>
        <v>241</v>
      </c>
      <c r="K17" s="37">
        <f t="shared" si="18"/>
        <v>8435</v>
      </c>
      <c r="L17" s="35">
        <v>80</v>
      </c>
      <c r="M17" s="36">
        <f t="shared" si="19"/>
        <v>190</v>
      </c>
      <c r="N17" s="37">
        <f t="shared" si="20"/>
        <v>15200</v>
      </c>
      <c r="O17" s="35">
        <v>3</v>
      </c>
      <c r="P17" s="36">
        <f t="shared" si="21"/>
        <v>157</v>
      </c>
      <c r="Q17" s="37">
        <f t="shared" si="22"/>
        <v>471</v>
      </c>
      <c r="R17" s="38">
        <f t="shared" si="23"/>
        <v>123</v>
      </c>
      <c r="S17" s="39">
        <f t="shared" si="24"/>
        <v>25576</v>
      </c>
      <c r="T17" s="40" t="str">
        <f t="shared" si="25"/>
        <v/>
      </c>
    </row>
    <row r="18" spans="2:20" s="41" customFormat="1" x14ac:dyDescent="0.25">
      <c r="B18" s="19" t="s">
        <v>175</v>
      </c>
      <c r="C18" s="24" t="s">
        <v>12</v>
      </c>
      <c r="D18" s="50" t="str">
        <f t="shared" si="13"/>
        <v>School of Electrical Engineering</v>
      </c>
      <c r="E18" s="50" t="str">
        <f t="shared" si="14"/>
        <v>Serbia</v>
      </c>
      <c r="F18" s="35">
        <v>5</v>
      </c>
      <c r="G18" s="36">
        <f t="shared" si="15"/>
        <v>108</v>
      </c>
      <c r="H18" s="37">
        <f t="shared" si="16"/>
        <v>540</v>
      </c>
      <c r="I18" s="35">
        <v>15</v>
      </c>
      <c r="J18" s="36">
        <f t="shared" si="17"/>
        <v>80</v>
      </c>
      <c r="K18" s="37">
        <f t="shared" si="18"/>
        <v>1200</v>
      </c>
      <c r="L18" s="35">
        <v>30</v>
      </c>
      <c r="M18" s="36">
        <f t="shared" si="19"/>
        <v>57</v>
      </c>
      <c r="N18" s="37">
        <f t="shared" si="20"/>
        <v>1710</v>
      </c>
      <c r="O18" s="35">
        <v>3</v>
      </c>
      <c r="P18" s="36">
        <f t="shared" si="21"/>
        <v>45</v>
      </c>
      <c r="Q18" s="37">
        <f t="shared" si="22"/>
        <v>135</v>
      </c>
      <c r="R18" s="38">
        <f t="shared" si="23"/>
        <v>53</v>
      </c>
      <c r="S18" s="39">
        <f t="shared" si="24"/>
        <v>3585</v>
      </c>
      <c r="T18" s="40" t="str">
        <f t="shared" si="25"/>
        <v/>
      </c>
    </row>
    <row r="19" spans="2:20" s="41" customFormat="1" ht="36" x14ac:dyDescent="0.25">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v>
      </c>
      <c r="G19" s="36">
        <f t="shared" ref="G19:G38" si="28">IF(T19="Error",0,INDEX(Rates,MATCH(E19,CountryALL,0),MATCH($F$11,Category,0)))</f>
        <v>280</v>
      </c>
      <c r="H19" s="37">
        <f t="shared" ref="H19:H38" si="29">IFERROR(IF(T19="Error",0,ROUND(F19*G19,2)),0)</f>
        <v>280</v>
      </c>
      <c r="I19" s="35">
        <v>2</v>
      </c>
      <c r="J19" s="36">
        <f t="shared" ref="J19:J38" si="30">IF(T19="Error",0,INDEX(Rates,MATCH(E19,CountryALL,0),MATCH($I$11,Category,0)))</f>
        <v>214</v>
      </c>
      <c r="K19" s="37">
        <f t="shared" ref="K19:K38" si="31">IFERROR(IF(T19="Error",0,ROUND(I19*J19,2)),0)</f>
        <v>428</v>
      </c>
      <c r="L19" s="35">
        <v>4</v>
      </c>
      <c r="M19" s="36">
        <f t="shared" ref="M19:M38" si="32">IF(T19="Error",0,INDEX(Rates,MATCH(E19,CountryALL,0),MATCH($L$11,Category,0)))</f>
        <v>162</v>
      </c>
      <c r="N19" s="37">
        <f t="shared" ref="N19:N38" si="33">IFERROR(IF(T19="Error",0,ROUND(L19*M19,2)),0)</f>
        <v>648</v>
      </c>
      <c r="O19" s="35">
        <v>1</v>
      </c>
      <c r="P19" s="36">
        <f t="shared" ref="P19:P38" si="34">IF(T19="Error",0,INDEX(Rates,MATCH(E19,CountryALL,0),MATCH($O$11,Category,0)))</f>
        <v>131</v>
      </c>
      <c r="Q19" s="37">
        <f t="shared" ref="Q19:Q38" si="35">IFERROR(IF(T19="Error",0,ROUND(O19*P19,2)),0)</f>
        <v>131</v>
      </c>
      <c r="R19" s="38">
        <f t="shared" ref="R19:R38" si="36">IF(T19="Error",0,F19+I19+L19+O19)</f>
        <v>8</v>
      </c>
      <c r="S19" s="39">
        <f t="shared" ref="S19:S38" si="37">IF(T19="Error",0,H19+K19+N19+Q19)</f>
        <v>1487</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25">
      <c r="B20" s="19" t="s">
        <v>322</v>
      </c>
      <c r="C20" s="24" t="s">
        <v>9</v>
      </c>
      <c r="D20" s="50" t="str">
        <f t="shared" si="26"/>
        <v>Vaisala</v>
      </c>
      <c r="E20" s="50" t="str">
        <f t="shared" si="27"/>
        <v>Finland</v>
      </c>
      <c r="F20" s="35">
        <v>2</v>
      </c>
      <c r="G20" s="36">
        <f t="shared" si="28"/>
        <v>280</v>
      </c>
      <c r="H20" s="37">
        <f t="shared" si="29"/>
        <v>560</v>
      </c>
      <c r="I20" s="35">
        <v>2</v>
      </c>
      <c r="J20" s="36">
        <f t="shared" si="30"/>
        <v>214</v>
      </c>
      <c r="K20" s="37">
        <f t="shared" si="31"/>
        <v>428</v>
      </c>
      <c r="L20" s="35">
        <v>4</v>
      </c>
      <c r="M20" s="36">
        <f t="shared" si="32"/>
        <v>162</v>
      </c>
      <c r="N20" s="37">
        <f t="shared" si="33"/>
        <v>648</v>
      </c>
      <c r="O20" s="35">
        <v>1</v>
      </c>
      <c r="P20" s="36">
        <f t="shared" si="34"/>
        <v>131</v>
      </c>
      <c r="Q20" s="37">
        <f t="shared" si="35"/>
        <v>131</v>
      </c>
      <c r="R20" s="38">
        <f t="shared" si="36"/>
        <v>9</v>
      </c>
      <c r="S20" s="39">
        <f t="shared" si="37"/>
        <v>1767</v>
      </c>
      <c r="T20" s="40" t="str">
        <f t="shared" si="38"/>
        <v/>
      </c>
    </row>
    <row r="21" spans="2:20" s="41" customFormat="1" x14ac:dyDescent="0.25">
      <c r="B21" s="19" t="s">
        <v>322</v>
      </c>
      <c r="C21" s="24" t="s">
        <v>10</v>
      </c>
      <c r="D21" s="50" t="str">
        <f t="shared" si="26"/>
        <v>Swedish Recycling</v>
      </c>
      <c r="E21" s="50" t="str">
        <f t="shared" si="27"/>
        <v>Sweden</v>
      </c>
      <c r="F21" s="35">
        <v>2</v>
      </c>
      <c r="G21" s="36">
        <f t="shared" si="28"/>
        <v>294</v>
      </c>
      <c r="H21" s="37">
        <f t="shared" si="29"/>
        <v>588</v>
      </c>
      <c r="I21" s="35">
        <v>2</v>
      </c>
      <c r="J21" s="36">
        <f t="shared" si="30"/>
        <v>241</v>
      </c>
      <c r="K21" s="37">
        <f t="shared" si="31"/>
        <v>482</v>
      </c>
      <c r="L21" s="35">
        <v>4</v>
      </c>
      <c r="M21" s="36">
        <f t="shared" si="32"/>
        <v>190</v>
      </c>
      <c r="N21" s="37">
        <f t="shared" si="33"/>
        <v>760</v>
      </c>
      <c r="O21" s="35">
        <v>1</v>
      </c>
      <c r="P21" s="36">
        <f t="shared" si="34"/>
        <v>157</v>
      </c>
      <c r="Q21" s="37">
        <f t="shared" si="35"/>
        <v>157</v>
      </c>
      <c r="R21" s="38">
        <f t="shared" si="36"/>
        <v>9</v>
      </c>
      <c r="S21" s="39">
        <f t="shared" si="37"/>
        <v>1987</v>
      </c>
      <c r="T21" s="40" t="str">
        <f t="shared" si="38"/>
        <v/>
      </c>
    </row>
    <row r="22" spans="2:20" s="41" customFormat="1" x14ac:dyDescent="0.25">
      <c r="B22" s="19" t="s">
        <v>322</v>
      </c>
      <c r="C22" s="24" t="s">
        <v>11</v>
      </c>
      <c r="D22" s="50" t="str">
        <f t="shared" si="26"/>
        <v>Xebia</v>
      </c>
      <c r="E22" s="50" t="str">
        <f t="shared" si="27"/>
        <v>Netherlands</v>
      </c>
      <c r="F22" s="35">
        <v>2</v>
      </c>
      <c r="G22" s="36">
        <f t="shared" si="28"/>
        <v>294</v>
      </c>
      <c r="H22" s="37">
        <f t="shared" si="29"/>
        <v>588</v>
      </c>
      <c r="I22" s="35">
        <v>2</v>
      </c>
      <c r="J22" s="36">
        <f t="shared" si="30"/>
        <v>241</v>
      </c>
      <c r="K22" s="37">
        <f t="shared" si="31"/>
        <v>482</v>
      </c>
      <c r="L22" s="35">
        <v>4</v>
      </c>
      <c r="M22" s="36">
        <f t="shared" si="32"/>
        <v>190</v>
      </c>
      <c r="N22" s="37">
        <f t="shared" si="33"/>
        <v>760</v>
      </c>
      <c r="O22" s="35">
        <v>1</v>
      </c>
      <c r="P22" s="36">
        <f t="shared" si="34"/>
        <v>157</v>
      </c>
      <c r="Q22" s="37">
        <f t="shared" si="35"/>
        <v>157</v>
      </c>
      <c r="R22" s="38">
        <f t="shared" si="36"/>
        <v>9</v>
      </c>
      <c r="S22" s="39">
        <f t="shared" si="37"/>
        <v>1987</v>
      </c>
      <c r="T22" s="40" t="str">
        <f t="shared" si="38"/>
        <v/>
      </c>
    </row>
    <row r="23" spans="2:20" s="41" customFormat="1" x14ac:dyDescent="0.25">
      <c r="B23" s="19" t="s">
        <v>322</v>
      </c>
      <c r="C23" s="24" t="s">
        <v>12</v>
      </c>
      <c r="D23" s="50" t="str">
        <f t="shared" si="26"/>
        <v>School of Electrical Engineering</v>
      </c>
      <c r="E23" s="50" t="str">
        <f t="shared" si="27"/>
        <v>Serbia</v>
      </c>
      <c r="F23" s="35">
        <v>2</v>
      </c>
      <c r="G23" s="36">
        <f t="shared" si="28"/>
        <v>108</v>
      </c>
      <c r="H23" s="37">
        <f t="shared" si="29"/>
        <v>216</v>
      </c>
      <c r="I23" s="35">
        <v>2</v>
      </c>
      <c r="J23" s="36">
        <f t="shared" si="30"/>
        <v>80</v>
      </c>
      <c r="K23" s="37">
        <f t="shared" si="31"/>
        <v>160</v>
      </c>
      <c r="L23" s="35">
        <v>4</v>
      </c>
      <c r="M23" s="36">
        <f t="shared" si="32"/>
        <v>57</v>
      </c>
      <c r="N23" s="37">
        <f t="shared" si="33"/>
        <v>228</v>
      </c>
      <c r="O23" s="35">
        <v>1</v>
      </c>
      <c r="P23" s="36">
        <f t="shared" si="34"/>
        <v>45</v>
      </c>
      <c r="Q23" s="37">
        <f t="shared" si="35"/>
        <v>45</v>
      </c>
      <c r="R23" s="38">
        <f t="shared" si="36"/>
        <v>9</v>
      </c>
      <c r="S23" s="39">
        <f t="shared" si="37"/>
        <v>649</v>
      </c>
      <c r="T23" s="40" t="str">
        <f t="shared" si="38"/>
        <v/>
      </c>
    </row>
    <row r="24" spans="2:20" s="41" customFormat="1" ht="36" x14ac:dyDescent="0.25">
      <c r="B24" s="19" t="s">
        <v>174</v>
      </c>
      <c r="C24" s="24" t="s">
        <v>8</v>
      </c>
      <c r="D24" s="50" t="str">
        <f t="shared" si="26"/>
        <v xml:space="preserve">Bundesministerium für Umwelt, Naturschutz und nukleare Sicherheit </v>
      </c>
      <c r="E24" s="50" t="str">
        <f t="shared" si="27"/>
        <v>Germany</v>
      </c>
      <c r="F24" s="35">
        <v>10</v>
      </c>
      <c r="G24" s="36">
        <f t="shared" si="28"/>
        <v>280</v>
      </c>
      <c r="H24" s="37">
        <f t="shared" si="29"/>
        <v>2800</v>
      </c>
      <c r="I24" s="35">
        <v>60</v>
      </c>
      <c r="J24" s="36">
        <f t="shared" si="30"/>
        <v>214</v>
      </c>
      <c r="K24" s="37">
        <f t="shared" si="31"/>
        <v>12840</v>
      </c>
      <c r="L24" s="35">
        <v>110</v>
      </c>
      <c r="M24" s="36">
        <f t="shared" si="32"/>
        <v>162</v>
      </c>
      <c r="N24" s="37">
        <f t="shared" si="33"/>
        <v>17820</v>
      </c>
      <c r="O24" s="35">
        <v>10</v>
      </c>
      <c r="P24" s="36">
        <f t="shared" si="34"/>
        <v>131</v>
      </c>
      <c r="Q24" s="37">
        <f t="shared" si="35"/>
        <v>1310</v>
      </c>
      <c r="R24" s="38">
        <f t="shared" si="36"/>
        <v>190</v>
      </c>
      <c r="S24" s="39">
        <f t="shared" si="37"/>
        <v>34770</v>
      </c>
      <c r="T24" s="40" t="str">
        <f t="shared" si="38"/>
        <v/>
      </c>
    </row>
    <row r="25" spans="2:20" s="41" customFormat="1" x14ac:dyDescent="0.25">
      <c r="B25" s="19" t="s">
        <v>174</v>
      </c>
      <c r="C25" s="24" t="s">
        <v>9</v>
      </c>
      <c r="D25" s="50" t="str">
        <f t="shared" si="26"/>
        <v>Vaisala</v>
      </c>
      <c r="E25" s="50" t="str">
        <f t="shared" si="27"/>
        <v>Finland</v>
      </c>
      <c r="F25" s="35">
        <v>10</v>
      </c>
      <c r="G25" s="36">
        <f t="shared" si="28"/>
        <v>280</v>
      </c>
      <c r="H25" s="37">
        <f t="shared" si="29"/>
        <v>2800</v>
      </c>
      <c r="I25" s="35">
        <v>70</v>
      </c>
      <c r="J25" s="36">
        <f t="shared" si="30"/>
        <v>214</v>
      </c>
      <c r="K25" s="37">
        <f t="shared" si="31"/>
        <v>14980</v>
      </c>
      <c r="L25" s="35">
        <v>135</v>
      </c>
      <c r="M25" s="36">
        <f t="shared" si="32"/>
        <v>162</v>
      </c>
      <c r="N25" s="37">
        <f t="shared" si="33"/>
        <v>21870</v>
      </c>
      <c r="O25" s="35">
        <v>10</v>
      </c>
      <c r="P25" s="36">
        <f t="shared" si="34"/>
        <v>131</v>
      </c>
      <c r="Q25" s="37">
        <f t="shared" si="35"/>
        <v>1310</v>
      </c>
      <c r="R25" s="38">
        <f t="shared" si="36"/>
        <v>225</v>
      </c>
      <c r="S25" s="39">
        <f t="shared" si="37"/>
        <v>40960</v>
      </c>
      <c r="T25" s="40" t="str">
        <f t="shared" si="38"/>
        <v/>
      </c>
    </row>
    <row r="26" spans="2:20" s="41" customFormat="1" x14ac:dyDescent="0.25">
      <c r="B26" s="19" t="s">
        <v>174</v>
      </c>
      <c r="C26" s="24" t="s">
        <v>10</v>
      </c>
      <c r="D26" s="50" t="str">
        <f t="shared" si="26"/>
        <v>Swedish Recycling</v>
      </c>
      <c r="E26" s="50" t="str">
        <f t="shared" si="27"/>
        <v>Sweden</v>
      </c>
      <c r="F26" s="35">
        <v>2</v>
      </c>
      <c r="G26" s="36">
        <f t="shared" si="28"/>
        <v>294</v>
      </c>
      <c r="H26" s="37">
        <f t="shared" si="29"/>
        <v>588</v>
      </c>
      <c r="I26" s="35">
        <v>28</v>
      </c>
      <c r="J26" s="36">
        <f t="shared" si="30"/>
        <v>241</v>
      </c>
      <c r="K26" s="37">
        <f t="shared" si="31"/>
        <v>6748</v>
      </c>
      <c r="L26" s="35">
        <v>55</v>
      </c>
      <c r="M26" s="36">
        <f t="shared" si="32"/>
        <v>190</v>
      </c>
      <c r="N26" s="37">
        <f t="shared" si="33"/>
        <v>10450</v>
      </c>
      <c r="O26" s="35">
        <v>8</v>
      </c>
      <c r="P26" s="36">
        <f t="shared" si="34"/>
        <v>157</v>
      </c>
      <c r="Q26" s="37">
        <f t="shared" si="35"/>
        <v>1256</v>
      </c>
      <c r="R26" s="38">
        <f t="shared" si="36"/>
        <v>93</v>
      </c>
      <c r="S26" s="39">
        <f t="shared" si="37"/>
        <v>19042</v>
      </c>
      <c r="T26" s="40" t="str">
        <f t="shared" si="38"/>
        <v/>
      </c>
    </row>
    <row r="27" spans="2:20" s="41" customFormat="1" x14ac:dyDescent="0.25">
      <c r="B27" s="19" t="s">
        <v>174</v>
      </c>
      <c r="C27" s="24" t="s">
        <v>11</v>
      </c>
      <c r="D27" s="50" t="str">
        <f t="shared" si="26"/>
        <v>Xebia</v>
      </c>
      <c r="E27" s="50" t="str">
        <f t="shared" si="27"/>
        <v>Netherlands</v>
      </c>
      <c r="F27" s="35">
        <v>15</v>
      </c>
      <c r="G27" s="36">
        <f t="shared" si="28"/>
        <v>294</v>
      </c>
      <c r="H27" s="37">
        <f t="shared" si="29"/>
        <v>4410</v>
      </c>
      <c r="I27" s="35">
        <v>75</v>
      </c>
      <c r="J27" s="36">
        <f t="shared" si="30"/>
        <v>241</v>
      </c>
      <c r="K27" s="37">
        <f t="shared" si="31"/>
        <v>18075</v>
      </c>
      <c r="L27" s="35">
        <v>230</v>
      </c>
      <c r="M27" s="36">
        <f t="shared" si="32"/>
        <v>190</v>
      </c>
      <c r="N27" s="37">
        <f t="shared" si="33"/>
        <v>43700</v>
      </c>
      <c r="O27" s="35">
        <v>12</v>
      </c>
      <c r="P27" s="36">
        <f t="shared" si="34"/>
        <v>157</v>
      </c>
      <c r="Q27" s="37">
        <f t="shared" si="35"/>
        <v>1884</v>
      </c>
      <c r="R27" s="38">
        <f t="shared" si="36"/>
        <v>332</v>
      </c>
      <c r="S27" s="39">
        <f t="shared" si="37"/>
        <v>68069</v>
      </c>
      <c r="T27" s="40" t="str">
        <f t="shared" si="38"/>
        <v/>
      </c>
    </row>
    <row r="28" spans="2:20" s="41" customFormat="1" x14ac:dyDescent="0.25">
      <c r="B28" s="19" t="s">
        <v>174</v>
      </c>
      <c r="C28" s="24" t="s">
        <v>12</v>
      </c>
      <c r="D28" s="50" t="str">
        <f t="shared" si="26"/>
        <v>School of Electrical Engineering</v>
      </c>
      <c r="E28" s="50" t="str">
        <f t="shared" si="27"/>
        <v>Serbia</v>
      </c>
      <c r="F28" s="35">
        <v>5</v>
      </c>
      <c r="G28" s="36">
        <f t="shared" si="28"/>
        <v>108</v>
      </c>
      <c r="H28" s="37">
        <f t="shared" si="29"/>
        <v>540</v>
      </c>
      <c r="I28" s="35">
        <v>64</v>
      </c>
      <c r="J28" s="36">
        <f t="shared" si="30"/>
        <v>80</v>
      </c>
      <c r="K28" s="37">
        <f t="shared" si="31"/>
        <v>5120</v>
      </c>
      <c r="L28" s="35">
        <v>110</v>
      </c>
      <c r="M28" s="36">
        <f t="shared" si="32"/>
        <v>57</v>
      </c>
      <c r="N28" s="37">
        <f t="shared" si="33"/>
        <v>6270</v>
      </c>
      <c r="O28" s="35">
        <v>6</v>
      </c>
      <c r="P28" s="36">
        <f t="shared" si="34"/>
        <v>45</v>
      </c>
      <c r="Q28" s="37">
        <f t="shared" si="35"/>
        <v>270</v>
      </c>
      <c r="R28" s="38">
        <f t="shared" si="36"/>
        <v>185</v>
      </c>
      <c r="S28" s="39">
        <f t="shared" si="37"/>
        <v>12200</v>
      </c>
      <c r="T28" s="40" t="str">
        <f t="shared" si="38"/>
        <v/>
      </c>
    </row>
    <row r="29" spans="2:20" s="41" customFormat="1" ht="36" x14ac:dyDescent="0.25">
      <c r="B29" s="19" t="s">
        <v>323</v>
      </c>
      <c r="C29" s="24" t="s">
        <v>8</v>
      </c>
      <c r="D29" s="50" t="str">
        <f t="shared" si="26"/>
        <v xml:space="preserve">Bundesministerium für Umwelt, Naturschutz und nukleare Sicherheit </v>
      </c>
      <c r="E29" s="50" t="str">
        <f t="shared" si="27"/>
        <v>Germany</v>
      </c>
      <c r="F29" s="35">
        <v>18</v>
      </c>
      <c r="G29" s="36">
        <f t="shared" si="28"/>
        <v>280</v>
      </c>
      <c r="H29" s="37">
        <f t="shared" si="29"/>
        <v>5040</v>
      </c>
      <c r="I29" s="35">
        <v>54</v>
      </c>
      <c r="J29" s="36">
        <f t="shared" si="30"/>
        <v>214</v>
      </c>
      <c r="K29" s="37">
        <f t="shared" si="31"/>
        <v>11556</v>
      </c>
      <c r="L29" s="35">
        <v>120</v>
      </c>
      <c r="M29" s="36">
        <f t="shared" si="32"/>
        <v>162</v>
      </c>
      <c r="N29" s="37">
        <f t="shared" si="33"/>
        <v>19440</v>
      </c>
      <c r="O29" s="35">
        <v>15</v>
      </c>
      <c r="P29" s="36">
        <f t="shared" si="34"/>
        <v>131</v>
      </c>
      <c r="Q29" s="37">
        <f t="shared" si="35"/>
        <v>1965</v>
      </c>
      <c r="R29" s="38">
        <f t="shared" si="36"/>
        <v>207</v>
      </c>
      <c r="S29" s="39">
        <f t="shared" si="37"/>
        <v>38001</v>
      </c>
      <c r="T29" s="40" t="str">
        <f t="shared" si="38"/>
        <v/>
      </c>
    </row>
    <row r="30" spans="2:20" s="41" customFormat="1" x14ac:dyDescent="0.25">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25">
      <c r="B31" s="19" t="s">
        <v>323</v>
      </c>
      <c r="C31" s="24" t="s">
        <v>10</v>
      </c>
      <c r="D31" s="50" t="str">
        <f t="shared" si="26"/>
        <v>Swedish Recycling</v>
      </c>
      <c r="E31" s="50" t="str">
        <f t="shared" si="27"/>
        <v>Sweden</v>
      </c>
      <c r="F31" s="35">
        <v>36</v>
      </c>
      <c r="G31" s="36">
        <f t="shared" si="28"/>
        <v>294</v>
      </c>
      <c r="H31" s="37">
        <f t="shared" si="29"/>
        <v>10584</v>
      </c>
      <c r="I31" s="35">
        <v>54</v>
      </c>
      <c r="J31" s="36">
        <f t="shared" si="30"/>
        <v>241</v>
      </c>
      <c r="K31" s="37">
        <f t="shared" si="31"/>
        <v>13014</v>
      </c>
      <c r="L31" s="35">
        <v>100</v>
      </c>
      <c r="M31" s="36">
        <f t="shared" si="32"/>
        <v>190</v>
      </c>
      <c r="N31" s="37">
        <f t="shared" si="33"/>
        <v>19000</v>
      </c>
      <c r="O31" s="35">
        <v>15</v>
      </c>
      <c r="P31" s="36">
        <f t="shared" si="34"/>
        <v>157</v>
      </c>
      <c r="Q31" s="37">
        <f t="shared" si="35"/>
        <v>2355</v>
      </c>
      <c r="R31" s="38">
        <f t="shared" si="36"/>
        <v>205</v>
      </c>
      <c r="S31" s="39">
        <f t="shared" si="37"/>
        <v>44953</v>
      </c>
      <c r="T31" s="40" t="str">
        <f t="shared" si="38"/>
        <v/>
      </c>
    </row>
    <row r="32" spans="2:20" s="41" customFormat="1" x14ac:dyDescent="0.25">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25">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25">
      <c r="B34" s="19" t="s">
        <v>176</v>
      </c>
      <c r="C34" s="24" t="s">
        <v>8</v>
      </c>
      <c r="D34" s="50" t="str">
        <f t="shared" si="26"/>
        <v xml:space="preserve">Bundesministerium für Umwelt, Naturschutz und nukleare Sicherheit </v>
      </c>
      <c r="E34" s="50" t="str">
        <f t="shared" si="27"/>
        <v>Germany</v>
      </c>
      <c r="F34" s="35">
        <v>72</v>
      </c>
      <c r="G34" s="36">
        <f t="shared" si="28"/>
        <v>280</v>
      </c>
      <c r="H34" s="37">
        <f t="shared" si="29"/>
        <v>20160</v>
      </c>
      <c r="I34" s="35">
        <v>72</v>
      </c>
      <c r="J34" s="36">
        <f t="shared" si="30"/>
        <v>214</v>
      </c>
      <c r="K34" s="37">
        <f t="shared" si="31"/>
        <v>15408</v>
      </c>
      <c r="L34" s="35">
        <v>120</v>
      </c>
      <c r="M34" s="36">
        <f t="shared" si="32"/>
        <v>162</v>
      </c>
      <c r="N34" s="37">
        <f t="shared" si="33"/>
        <v>19440</v>
      </c>
      <c r="O34" s="35">
        <v>13</v>
      </c>
      <c r="P34" s="36">
        <f t="shared" si="34"/>
        <v>131</v>
      </c>
      <c r="Q34" s="37">
        <f t="shared" si="35"/>
        <v>1703</v>
      </c>
      <c r="R34" s="38">
        <f t="shared" si="36"/>
        <v>277</v>
      </c>
      <c r="S34" s="39">
        <f t="shared" si="37"/>
        <v>56711</v>
      </c>
      <c r="T34" s="40" t="str">
        <f t="shared" si="38"/>
        <v/>
      </c>
    </row>
    <row r="35" spans="2:20" s="41" customFormat="1" x14ac:dyDescent="0.25">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25">
      <c r="B36" s="19" t="s">
        <v>176</v>
      </c>
      <c r="C36" s="24" t="s">
        <v>10</v>
      </c>
      <c r="D36" s="50" t="str">
        <f t="shared" si="26"/>
        <v>Swedish Recycling</v>
      </c>
      <c r="E36" s="50" t="str">
        <f t="shared" si="27"/>
        <v>Sweden</v>
      </c>
      <c r="F36" s="35">
        <v>0</v>
      </c>
      <c r="G36" s="36">
        <f t="shared" si="28"/>
        <v>294</v>
      </c>
      <c r="H36" s="37">
        <f t="shared" si="29"/>
        <v>0</v>
      </c>
      <c r="I36" s="35">
        <v>0</v>
      </c>
      <c r="J36" s="36">
        <f t="shared" si="30"/>
        <v>241</v>
      </c>
      <c r="K36" s="37">
        <f t="shared" si="31"/>
        <v>0</v>
      </c>
      <c r="L36" s="35">
        <v>0</v>
      </c>
      <c r="M36" s="36">
        <f t="shared" si="32"/>
        <v>190</v>
      </c>
      <c r="N36" s="37">
        <f t="shared" si="33"/>
        <v>0</v>
      </c>
      <c r="O36" s="35">
        <v>0</v>
      </c>
      <c r="P36" s="36">
        <f t="shared" si="34"/>
        <v>157</v>
      </c>
      <c r="Q36" s="37">
        <f t="shared" si="35"/>
        <v>0</v>
      </c>
      <c r="R36" s="38">
        <f t="shared" si="36"/>
        <v>0</v>
      </c>
      <c r="S36" s="39">
        <f t="shared" si="37"/>
        <v>0</v>
      </c>
      <c r="T36" s="40" t="str">
        <f t="shared" si="38"/>
        <v/>
      </c>
    </row>
    <row r="37" spans="2:20" s="41" customFormat="1" x14ac:dyDescent="0.25">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25">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77" priority="1040" operator="containsText" text="Error">
      <formula>NOT(ISERROR(SEARCH("Error",T13)))</formula>
    </cfRule>
  </conditionalFormatting>
  <conditionalFormatting sqref="D13:E14">
    <cfRule type="containsBlanks" dxfId="376" priority="1036">
      <formula>LEN(TRIM(D13))=0</formula>
    </cfRule>
  </conditionalFormatting>
  <conditionalFormatting sqref="F14 I14 L14 O14">
    <cfRule type="expression" dxfId="375" priority="407">
      <formula>ISNUMBER(F14)=FALSE</formula>
    </cfRule>
  </conditionalFormatting>
  <conditionalFormatting sqref="F13 I13 L13 O13">
    <cfRule type="expression" dxfId="374" priority="406">
      <formula>ISNUMBER(F13)=FALSE</formula>
    </cfRule>
  </conditionalFormatting>
  <conditionalFormatting sqref="B13:C13">
    <cfRule type="containsBlanks" dxfId="373" priority="399">
      <formula>LEN(TRIM(B13))=0</formula>
    </cfRule>
  </conditionalFormatting>
  <conditionalFormatting sqref="B14:C14">
    <cfRule type="containsBlanks" dxfId="372" priority="398">
      <formula>LEN(TRIM(B14))=0</formula>
    </cfRule>
  </conditionalFormatting>
  <conditionalFormatting sqref="T19">
    <cfRule type="containsText" dxfId="371" priority="109" operator="containsText" text="Error">
      <formula>NOT(ISERROR(SEARCH("Error",T19)))</formula>
    </cfRule>
  </conditionalFormatting>
  <conditionalFormatting sqref="D19:E19">
    <cfRule type="containsBlanks" dxfId="370" priority="108">
      <formula>LEN(TRIM(D19))=0</formula>
    </cfRule>
  </conditionalFormatting>
  <conditionalFormatting sqref="F19 I19 L19 O19">
    <cfRule type="expression" dxfId="369" priority="107">
      <formula>ISNUMBER(F19)=FALSE</formula>
    </cfRule>
  </conditionalFormatting>
  <conditionalFormatting sqref="B19:C19">
    <cfRule type="containsBlanks" dxfId="368" priority="106">
      <formula>LEN(TRIM(B19))=0</formula>
    </cfRule>
  </conditionalFormatting>
  <conditionalFormatting sqref="T24">
    <cfRule type="containsText" dxfId="367" priority="105" operator="containsText" text="Error">
      <formula>NOT(ISERROR(SEARCH("Error",T24)))</formula>
    </cfRule>
  </conditionalFormatting>
  <conditionalFormatting sqref="D24:E24">
    <cfRule type="containsBlanks" dxfId="366" priority="104">
      <formula>LEN(TRIM(D24))=0</formula>
    </cfRule>
  </conditionalFormatting>
  <conditionalFormatting sqref="F24 I24 L24 O24">
    <cfRule type="expression" dxfId="365" priority="103">
      <formula>ISNUMBER(F24)=FALSE</formula>
    </cfRule>
  </conditionalFormatting>
  <conditionalFormatting sqref="B24:C24">
    <cfRule type="containsBlanks" dxfId="364" priority="102">
      <formula>LEN(TRIM(B24))=0</formula>
    </cfRule>
  </conditionalFormatting>
  <conditionalFormatting sqref="T29">
    <cfRule type="containsText" dxfId="363" priority="101" operator="containsText" text="Error">
      <formula>NOT(ISERROR(SEARCH("Error",T29)))</formula>
    </cfRule>
  </conditionalFormatting>
  <conditionalFormatting sqref="D29:E29">
    <cfRule type="containsBlanks" dxfId="362" priority="100">
      <formula>LEN(TRIM(D29))=0</formula>
    </cfRule>
  </conditionalFormatting>
  <conditionalFormatting sqref="F29 I29 L29 O29">
    <cfRule type="expression" dxfId="361" priority="99">
      <formula>ISNUMBER(F29)=FALSE</formula>
    </cfRule>
  </conditionalFormatting>
  <conditionalFormatting sqref="B29:C29">
    <cfRule type="containsBlanks" dxfId="360" priority="98">
      <formula>LEN(TRIM(B29))=0</formula>
    </cfRule>
  </conditionalFormatting>
  <conditionalFormatting sqref="T34">
    <cfRule type="containsText" dxfId="359" priority="97" operator="containsText" text="Error">
      <formula>NOT(ISERROR(SEARCH("Error",T34)))</formula>
    </cfRule>
  </conditionalFormatting>
  <conditionalFormatting sqref="D34:E34">
    <cfRule type="containsBlanks" dxfId="358" priority="96">
      <formula>LEN(TRIM(D34))=0</formula>
    </cfRule>
  </conditionalFormatting>
  <conditionalFormatting sqref="F34 I34 L34 O34">
    <cfRule type="expression" dxfId="357" priority="95">
      <formula>ISNUMBER(F34)=FALSE</formula>
    </cfRule>
  </conditionalFormatting>
  <conditionalFormatting sqref="B34:C34">
    <cfRule type="containsBlanks" dxfId="356" priority="94">
      <formula>LEN(TRIM(B34))=0</formula>
    </cfRule>
  </conditionalFormatting>
  <conditionalFormatting sqref="T15">
    <cfRule type="containsText" dxfId="355" priority="89" operator="containsText" text="Error">
      <formula>NOT(ISERROR(SEARCH("Error",T15)))</formula>
    </cfRule>
  </conditionalFormatting>
  <conditionalFormatting sqref="D15:E15">
    <cfRule type="containsBlanks" dxfId="354" priority="88">
      <formula>LEN(TRIM(D15))=0</formula>
    </cfRule>
  </conditionalFormatting>
  <conditionalFormatting sqref="F15 I15 L15 O15">
    <cfRule type="expression" dxfId="353" priority="87">
      <formula>ISNUMBER(F15)=FALSE</formula>
    </cfRule>
  </conditionalFormatting>
  <conditionalFormatting sqref="C15">
    <cfRule type="containsBlanks" dxfId="352" priority="86">
      <formula>LEN(TRIM(C15))=0</formula>
    </cfRule>
  </conditionalFormatting>
  <conditionalFormatting sqref="T16">
    <cfRule type="containsText" dxfId="351" priority="85" operator="containsText" text="Error">
      <formula>NOT(ISERROR(SEARCH("Error",T16)))</formula>
    </cfRule>
  </conditionalFormatting>
  <conditionalFormatting sqref="D16:E16">
    <cfRule type="containsBlanks" dxfId="350" priority="84">
      <formula>LEN(TRIM(D16))=0</formula>
    </cfRule>
  </conditionalFormatting>
  <conditionalFormatting sqref="F16 I16 L16 O16">
    <cfRule type="expression" dxfId="349" priority="83">
      <formula>ISNUMBER(F16)=FALSE</formula>
    </cfRule>
  </conditionalFormatting>
  <conditionalFormatting sqref="C16">
    <cfRule type="containsBlanks" dxfId="348" priority="82">
      <formula>LEN(TRIM(C16))=0</formula>
    </cfRule>
  </conditionalFormatting>
  <conditionalFormatting sqref="T17">
    <cfRule type="containsText" dxfId="347" priority="81" operator="containsText" text="Error">
      <formula>NOT(ISERROR(SEARCH("Error",T17)))</formula>
    </cfRule>
  </conditionalFormatting>
  <conditionalFormatting sqref="D17:E17">
    <cfRule type="containsBlanks" dxfId="346" priority="80">
      <formula>LEN(TRIM(D17))=0</formula>
    </cfRule>
  </conditionalFormatting>
  <conditionalFormatting sqref="F17 I17 L17 O17">
    <cfRule type="expression" dxfId="345" priority="79">
      <formula>ISNUMBER(F17)=FALSE</formula>
    </cfRule>
  </conditionalFormatting>
  <conditionalFormatting sqref="C17">
    <cfRule type="containsBlanks" dxfId="344" priority="78">
      <formula>LEN(TRIM(C17))=0</formula>
    </cfRule>
  </conditionalFormatting>
  <conditionalFormatting sqref="T18">
    <cfRule type="containsText" dxfId="343" priority="77" operator="containsText" text="Error">
      <formula>NOT(ISERROR(SEARCH("Error",T18)))</formula>
    </cfRule>
  </conditionalFormatting>
  <conditionalFormatting sqref="D18:E18">
    <cfRule type="containsBlanks" dxfId="342" priority="76">
      <formula>LEN(TRIM(D18))=0</formula>
    </cfRule>
  </conditionalFormatting>
  <conditionalFormatting sqref="F18 I18 L18 O18">
    <cfRule type="expression" dxfId="341" priority="75">
      <formula>ISNUMBER(F18)=FALSE</formula>
    </cfRule>
  </conditionalFormatting>
  <conditionalFormatting sqref="C18">
    <cfRule type="containsBlanks" dxfId="340" priority="74">
      <formula>LEN(TRIM(C18))=0</formula>
    </cfRule>
  </conditionalFormatting>
  <conditionalFormatting sqref="T20">
    <cfRule type="containsText" dxfId="339" priority="73" operator="containsText" text="Error">
      <formula>NOT(ISERROR(SEARCH("Error",T20)))</formula>
    </cfRule>
  </conditionalFormatting>
  <conditionalFormatting sqref="D20:E20">
    <cfRule type="containsBlanks" dxfId="338" priority="72">
      <formula>LEN(TRIM(D20))=0</formula>
    </cfRule>
  </conditionalFormatting>
  <conditionalFormatting sqref="F20 I20 L20 O20">
    <cfRule type="expression" dxfId="337" priority="71">
      <formula>ISNUMBER(F20)=FALSE</formula>
    </cfRule>
  </conditionalFormatting>
  <conditionalFormatting sqref="B20:C20">
    <cfRule type="containsBlanks" dxfId="336" priority="70">
      <formula>LEN(TRIM(B20))=0</formula>
    </cfRule>
  </conditionalFormatting>
  <conditionalFormatting sqref="T21">
    <cfRule type="containsText" dxfId="335" priority="69" operator="containsText" text="Error">
      <formula>NOT(ISERROR(SEARCH("Error",T21)))</formula>
    </cfRule>
  </conditionalFormatting>
  <conditionalFormatting sqref="D21:E21">
    <cfRule type="containsBlanks" dxfId="334" priority="68">
      <formula>LEN(TRIM(D21))=0</formula>
    </cfRule>
  </conditionalFormatting>
  <conditionalFormatting sqref="F21 I21 L21 O21">
    <cfRule type="expression" dxfId="333" priority="67">
      <formula>ISNUMBER(F21)=FALSE</formula>
    </cfRule>
  </conditionalFormatting>
  <conditionalFormatting sqref="B21:C21">
    <cfRule type="containsBlanks" dxfId="332" priority="66">
      <formula>LEN(TRIM(B21))=0</formula>
    </cfRule>
  </conditionalFormatting>
  <conditionalFormatting sqref="T22">
    <cfRule type="containsText" dxfId="331" priority="65" operator="containsText" text="Error">
      <formula>NOT(ISERROR(SEARCH("Error",T22)))</formula>
    </cfRule>
  </conditionalFormatting>
  <conditionalFormatting sqref="D22:E22">
    <cfRule type="containsBlanks" dxfId="330" priority="64">
      <formula>LEN(TRIM(D22))=0</formula>
    </cfRule>
  </conditionalFormatting>
  <conditionalFormatting sqref="F22 I22 L22 O22">
    <cfRule type="expression" dxfId="329" priority="63">
      <formula>ISNUMBER(F22)=FALSE</formula>
    </cfRule>
  </conditionalFormatting>
  <conditionalFormatting sqref="B22:C22">
    <cfRule type="containsBlanks" dxfId="328" priority="62">
      <formula>LEN(TRIM(B22))=0</formula>
    </cfRule>
  </conditionalFormatting>
  <conditionalFormatting sqref="T23">
    <cfRule type="containsText" dxfId="327" priority="61" operator="containsText" text="Error">
      <formula>NOT(ISERROR(SEARCH("Error",T23)))</formula>
    </cfRule>
  </conditionalFormatting>
  <conditionalFormatting sqref="D23:E23">
    <cfRule type="containsBlanks" dxfId="326" priority="60">
      <formula>LEN(TRIM(D23))=0</formula>
    </cfRule>
  </conditionalFormatting>
  <conditionalFormatting sqref="F23 I23 L23 O23">
    <cfRule type="expression" dxfId="325" priority="59">
      <formula>ISNUMBER(F23)=FALSE</formula>
    </cfRule>
  </conditionalFormatting>
  <conditionalFormatting sqref="B23:C23">
    <cfRule type="containsBlanks" dxfId="324" priority="58">
      <formula>LEN(TRIM(B23))=0</formula>
    </cfRule>
  </conditionalFormatting>
  <conditionalFormatting sqref="T25">
    <cfRule type="containsText" dxfId="323" priority="53" operator="containsText" text="Error">
      <formula>NOT(ISERROR(SEARCH("Error",T25)))</formula>
    </cfRule>
  </conditionalFormatting>
  <conditionalFormatting sqref="D25:E25">
    <cfRule type="containsBlanks" dxfId="322" priority="52">
      <formula>LEN(TRIM(D25))=0</formula>
    </cfRule>
  </conditionalFormatting>
  <conditionalFormatting sqref="F25 I25 L25 O25">
    <cfRule type="expression" dxfId="321" priority="51">
      <formula>ISNUMBER(F25)=FALSE</formula>
    </cfRule>
  </conditionalFormatting>
  <conditionalFormatting sqref="B25:C25">
    <cfRule type="containsBlanks" dxfId="320" priority="50">
      <formula>LEN(TRIM(B25))=0</formula>
    </cfRule>
  </conditionalFormatting>
  <conditionalFormatting sqref="T26">
    <cfRule type="containsText" dxfId="319" priority="49" operator="containsText" text="Error">
      <formula>NOT(ISERROR(SEARCH("Error",T26)))</formula>
    </cfRule>
  </conditionalFormatting>
  <conditionalFormatting sqref="D26:E26">
    <cfRule type="containsBlanks" dxfId="318" priority="48">
      <formula>LEN(TRIM(D26))=0</formula>
    </cfRule>
  </conditionalFormatting>
  <conditionalFormatting sqref="F26 I26 L26 O26">
    <cfRule type="expression" dxfId="317" priority="47">
      <formula>ISNUMBER(F26)=FALSE</formula>
    </cfRule>
  </conditionalFormatting>
  <conditionalFormatting sqref="B26:C26">
    <cfRule type="containsBlanks" dxfId="316" priority="46">
      <formula>LEN(TRIM(B26))=0</formula>
    </cfRule>
  </conditionalFormatting>
  <conditionalFormatting sqref="T27">
    <cfRule type="containsText" dxfId="315" priority="45" operator="containsText" text="Error">
      <formula>NOT(ISERROR(SEARCH("Error",T27)))</formula>
    </cfRule>
  </conditionalFormatting>
  <conditionalFormatting sqref="D27:E27">
    <cfRule type="containsBlanks" dxfId="314" priority="44">
      <formula>LEN(TRIM(D27))=0</formula>
    </cfRule>
  </conditionalFormatting>
  <conditionalFormatting sqref="F27 I27 L27 O27">
    <cfRule type="expression" dxfId="313" priority="43">
      <formula>ISNUMBER(F27)=FALSE</formula>
    </cfRule>
  </conditionalFormatting>
  <conditionalFormatting sqref="B27:C27">
    <cfRule type="containsBlanks" dxfId="312" priority="42">
      <formula>LEN(TRIM(B27))=0</formula>
    </cfRule>
  </conditionalFormatting>
  <conditionalFormatting sqref="T28">
    <cfRule type="containsText" dxfId="311" priority="41" operator="containsText" text="Error">
      <formula>NOT(ISERROR(SEARCH("Error",T28)))</formula>
    </cfRule>
  </conditionalFormatting>
  <conditionalFormatting sqref="D28:E28">
    <cfRule type="containsBlanks" dxfId="310" priority="40">
      <formula>LEN(TRIM(D28))=0</formula>
    </cfRule>
  </conditionalFormatting>
  <conditionalFormatting sqref="F28 I28 L28 O28">
    <cfRule type="expression" dxfId="309" priority="39">
      <formula>ISNUMBER(F28)=FALSE</formula>
    </cfRule>
  </conditionalFormatting>
  <conditionalFormatting sqref="B28:C28">
    <cfRule type="containsBlanks" dxfId="308" priority="38">
      <formula>LEN(TRIM(B28))=0</formula>
    </cfRule>
  </conditionalFormatting>
  <conditionalFormatting sqref="T30">
    <cfRule type="containsText" dxfId="307" priority="37" operator="containsText" text="Error">
      <formula>NOT(ISERROR(SEARCH("Error",T30)))</formula>
    </cfRule>
  </conditionalFormatting>
  <conditionalFormatting sqref="D30:E30">
    <cfRule type="containsBlanks" dxfId="306" priority="36">
      <formula>LEN(TRIM(D30))=0</formula>
    </cfRule>
  </conditionalFormatting>
  <conditionalFormatting sqref="F30 I30 L30 O30">
    <cfRule type="expression" dxfId="305" priority="35">
      <formula>ISNUMBER(F30)=FALSE</formula>
    </cfRule>
  </conditionalFormatting>
  <conditionalFormatting sqref="B30:C30">
    <cfRule type="containsBlanks" dxfId="304" priority="34">
      <formula>LEN(TRIM(B30))=0</formula>
    </cfRule>
  </conditionalFormatting>
  <conditionalFormatting sqref="T31">
    <cfRule type="containsText" dxfId="303" priority="33" operator="containsText" text="Error">
      <formula>NOT(ISERROR(SEARCH("Error",T31)))</formula>
    </cfRule>
  </conditionalFormatting>
  <conditionalFormatting sqref="D31:E31">
    <cfRule type="containsBlanks" dxfId="302" priority="32">
      <formula>LEN(TRIM(D31))=0</formula>
    </cfRule>
  </conditionalFormatting>
  <conditionalFormatting sqref="F31 I31 L31 O31">
    <cfRule type="expression" dxfId="301" priority="31">
      <formula>ISNUMBER(F31)=FALSE</formula>
    </cfRule>
  </conditionalFormatting>
  <conditionalFormatting sqref="B31:C31">
    <cfRule type="containsBlanks" dxfId="300" priority="30">
      <formula>LEN(TRIM(B31))=0</formula>
    </cfRule>
  </conditionalFormatting>
  <conditionalFormatting sqref="T32">
    <cfRule type="containsText" dxfId="299" priority="29" operator="containsText" text="Error">
      <formula>NOT(ISERROR(SEARCH("Error",T32)))</formula>
    </cfRule>
  </conditionalFormatting>
  <conditionalFormatting sqref="D32:E32">
    <cfRule type="containsBlanks" dxfId="298" priority="28">
      <formula>LEN(TRIM(D32))=0</formula>
    </cfRule>
  </conditionalFormatting>
  <conditionalFormatting sqref="F32 I32 L32 O32">
    <cfRule type="expression" dxfId="297" priority="27">
      <formula>ISNUMBER(F32)=FALSE</formula>
    </cfRule>
  </conditionalFormatting>
  <conditionalFormatting sqref="B32:C32">
    <cfRule type="containsBlanks" dxfId="296" priority="26">
      <formula>LEN(TRIM(B32))=0</formula>
    </cfRule>
  </conditionalFormatting>
  <conditionalFormatting sqref="T33">
    <cfRule type="containsText" dxfId="295" priority="25" operator="containsText" text="Error">
      <formula>NOT(ISERROR(SEARCH("Error",T33)))</formula>
    </cfRule>
  </conditionalFormatting>
  <conditionalFormatting sqref="D33:E33">
    <cfRule type="containsBlanks" dxfId="294" priority="24">
      <formula>LEN(TRIM(D33))=0</formula>
    </cfRule>
  </conditionalFormatting>
  <conditionalFormatting sqref="F33 I33 L33 O33">
    <cfRule type="expression" dxfId="293" priority="23">
      <formula>ISNUMBER(F33)=FALSE</formula>
    </cfRule>
  </conditionalFormatting>
  <conditionalFormatting sqref="B33:C33">
    <cfRule type="containsBlanks" dxfId="292" priority="22">
      <formula>LEN(TRIM(B33))=0</formula>
    </cfRule>
  </conditionalFormatting>
  <conditionalFormatting sqref="T35">
    <cfRule type="containsText" dxfId="291" priority="21" operator="containsText" text="Error">
      <formula>NOT(ISERROR(SEARCH("Error",T35)))</formula>
    </cfRule>
  </conditionalFormatting>
  <conditionalFormatting sqref="D35:E35">
    <cfRule type="containsBlanks" dxfId="290" priority="20">
      <formula>LEN(TRIM(D35))=0</formula>
    </cfRule>
  </conditionalFormatting>
  <conditionalFormatting sqref="F35 I35 L35 O35">
    <cfRule type="expression" dxfId="289" priority="19">
      <formula>ISNUMBER(F35)=FALSE</formula>
    </cfRule>
  </conditionalFormatting>
  <conditionalFormatting sqref="B35:C35">
    <cfRule type="containsBlanks" dxfId="288" priority="18">
      <formula>LEN(TRIM(B35))=0</formula>
    </cfRule>
  </conditionalFormatting>
  <conditionalFormatting sqref="T36">
    <cfRule type="containsText" dxfId="287" priority="17" operator="containsText" text="Error">
      <formula>NOT(ISERROR(SEARCH("Error",T36)))</formula>
    </cfRule>
  </conditionalFormatting>
  <conditionalFormatting sqref="D36:E36">
    <cfRule type="containsBlanks" dxfId="286" priority="16">
      <formula>LEN(TRIM(D36))=0</formula>
    </cfRule>
  </conditionalFormatting>
  <conditionalFormatting sqref="F36 I36 L36 O36">
    <cfRule type="expression" dxfId="285" priority="15">
      <formula>ISNUMBER(F36)=FALSE</formula>
    </cfRule>
  </conditionalFormatting>
  <conditionalFormatting sqref="B36:C36">
    <cfRule type="containsBlanks" dxfId="284" priority="14">
      <formula>LEN(TRIM(B36))=0</formula>
    </cfRule>
  </conditionalFormatting>
  <conditionalFormatting sqref="T37">
    <cfRule type="containsText" dxfId="283" priority="13" operator="containsText" text="Error">
      <formula>NOT(ISERROR(SEARCH("Error",T37)))</formula>
    </cfRule>
  </conditionalFormatting>
  <conditionalFormatting sqref="D37:E37">
    <cfRule type="containsBlanks" dxfId="282" priority="12">
      <formula>LEN(TRIM(D37))=0</formula>
    </cfRule>
  </conditionalFormatting>
  <conditionalFormatting sqref="F37 I37 L37 O37">
    <cfRule type="expression" dxfId="281" priority="11">
      <formula>ISNUMBER(F37)=FALSE</formula>
    </cfRule>
  </conditionalFormatting>
  <conditionalFormatting sqref="B37:C37">
    <cfRule type="containsBlanks" dxfId="280" priority="10">
      <formula>LEN(TRIM(B37))=0</formula>
    </cfRule>
  </conditionalFormatting>
  <conditionalFormatting sqref="T38">
    <cfRule type="containsText" dxfId="279" priority="9" operator="containsText" text="Error">
      <formula>NOT(ISERROR(SEARCH("Error",T38)))</formula>
    </cfRule>
  </conditionalFormatting>
  <conditionalFormatting sqref="D38:E38">
    <cfRule type="containsBlanks" dxfId="278" priority="8">
      <formula>LEN(TRIM(D38))=0</formula>
    </cfRule>
  </conditionalFormatting>
  <conditionalFormatting sqref="F38 I38 L38 O38">
    <cfRule type="expression" dxfId="277" priority="7">
      <formula>ISNUMBER(F38)=FALSE</formula>
    </cfRule>
  </conditionalFormatting>
  <conditionalFormatting sqref="B38:C38">
    <cfRule type="containsBlanks" dxfId="276" priority="6">
      <formula>LEN(TRIM(B38))=0</formula>
    </cfRule>
  </conditionalFormatting>
  <conditionalFormatting sqref="B15">
    <cfRule type="containsBlanks" dxfId="275" priority="4">
      <formula>LEN(TRIM(B15))=0</formula>
    </cfRule>
  </conditionalFormatting>
  <conditionalFormatting sqref="B17">
    <cfRule type="containsBlanks" dxfId="274" priority="3">
      <formula>LEN(TRIM(B17))=0</formula>
    </cfRule>
  </conditionalFormatting>
  <conditionalFormatting sqref="B16">
    <cfRule type="containsBlanks" dxfId="273" priority="2">
      <formula>LEN(TRIM(B16))=0</formula>
    </cfRule>
  </conditionalFormatting>
  <conditionalFormatting sqref="B18">
    <cfRule type="containsBlanks" dxfId="272" priority="1">
      <formula>LEN(TRIM(B18))=0</formula>
    </cfRule>
  </conditionalFormatting>
  <dataValidations xWindow="742" yWindow="641" count="4">
    <dataValidation allowBlank="1" showInputMessage="1" errorTitle="Warning: Max Ceilings exceeded" error="Please be aware that this exceed the &quot;Ceilings&quot; for the maximum amounts for staff cost by country" sqref="P13:P38 G13:G38 M13:M38 J13:J38" xr:uid="{00000000-0002-0000-0200-000000000000}"/>
    <dataValidation type="custom" allowBlank="1" showInputMessage="1" showErrorMessage="1" error="Format error (1 decimal only)" prompt="Please encode number of days - 1 decimal only" sqref="O13:O38 L13:L38 F13:F38 I13:I38" xr:uid="{00000000-0002-0000-0200-000001000000}">
      <formula1>F13=INT(F13*10)/10</formula1>
    </dataValidation>
    <dataValidation type="list" allowBlank="1" showInputMessage="1" showErrorMessage="1" error="Click arrow to select Work Package" prompt="Click arrow to select Work Package" sqref="B13:B38" xr:uid="{00000000-0002-0000-0200-000002000000}">
      <formula1>WorkPackage</formula1>
    </dataValidation>
    <dataValidation type="list" allowBlank="1" showInputMessage="1" showErrorMessage="1" error="Click arrow to select Partner N°" prompt="Click arrow to select Partner N°" sqref="C13:C3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30"/>
  <sheetViews>
    <sheetView showGridLines="0" zoomScale="85" zoomScaleNormal="85" zoomScaleSheetLayoutView="55" workbookViewId="0">
      <pane ySplit="13" topLeftCell="A14" activePane="bottomLeft" state="frozen"/>
      <selection pane="bottomLeft" activeCell="J14" sqref="J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45" t="s">
        <v>185</v>
      </c>
      <c r="C2" s="145"/>
      <c r="D2" s="145"/>
      <c r="E2" s="145"/>
      <c r="F2" s="145"/>
      <c r="G2" s="145"/>
      <c r="H2" s="145"/>
      <c r="I2" s="145"/>
      <c r="J2" s="145"/>
      <c r="K2" s="145"/>
      <c r="L2" s="145"/>
      <c r="M2" s="145"/>
      <c r="N2" s="145"/>
      <c r="O2" s="145"/>
    </row>
    <row r="3" spans="2:15" s="25" customFormat="1" ht="8.1" customHeight="1" x14ac:dyDescent="0.25">
      <c r="B3" s="131"/>
      <c r="C3" s="132"/>
      <c r="D3" s="132"/>
      <c r="E3" s="132"/>
      <c r="F3" s="132"/>
      <c r="G3" s="132"/>
      <c r="H3" s="132"/>
      <c r="I3" s="132"/>
      <c r="J3" s="132"/>
      <c r="K3" s="132"/>
      <c r="L3" s="132"/>
      <c r="M3" s="132"/>
      <c r="N3" s="132"/>
      <c r="O3" s="133"/>
    </row>
    <row r="4" spans="2:15" s="25" customFormat="1" ht="20.100000000000001" customHeight="1" x14ac:dyDescent="0.25">
      <c r="B4" s="157" t="s">
        <v>306</v>
      </c>
      <c r="C4" s="158"/>
      <c r="D4" s="60">
        <f>SUMIF(G:G,"Student",L:L)</f>
        <v>1925</v>
      </c>
      <c r="E4" s="166">
        <f>D4+D5</f>
        <v>13195</v>
      </c>
      <c r="F4" s="153">
        <f>SUMIFS(H:H,G:G,"Student",O:O,"&lt;&gt;Error")</f>
        <v>7</v>
      </c>
      <c r="G4" s="58"/>
      <c r="H4" s="168" t="s">
        <v>347</v>
      </c>
      <c r="I4" s="169"/>
      <c r="J4" s="91">
        <v>10105</v>
      </c>
      <c r="K4" s="170" t="str">
        <f>IF(AND(D8=0,J4&gt;0),"EXCEEDING 80% OF TOTAL TRAVEL COSTS",IFERROR(IF(J4/D8&gt;0.8,"EXCEEDING 80% OF TOTAL TRAVEL COSTS",""),""))</f>
        <v/>
      </c>
      <c r="L4" s="171"/>
      <c r="M4" s="171"/>
      <c r="N4" s="171"/>
      <c r="O4" s="92"/>
    </row>
    <row r="5" spans="2:15" s="25" customFormat="1" ht="20.100000000000001" customHeight="1" x14ac:dyDescent="0.25">
      <c r="B5" s="155" t="s">
        <v>307</v>
      </c>
      <c r="C5" s="156"/>
      <c r="D5" s="61">
        <f>SUMIF(G:G,"Student",M:M)</f>
        <v>11270</v>
      </c>
      <c r="E5" s="167"/>
      <c r="F5" s="154"/>
      <c r="G5" s="58"/>
      <c r="H5" s="59"/>
      <c r="I5" s="59"/>
      <c r="J5" s="59"/>
      <c r="K5" s="59"/>
      <c r="L5" s="59"/>
      <c r="M5" s="59"/>
      <c r="N5" s="59"/>
      <c r="O5" s="92"/>
    </row>
    <row r="6" spans="2:15" s="25" customFormat="1" ht="20.100000000000001" customHeight="1" x14ac:dyDescent="0.25">
      <c r="B6" s="157" t="s">
        <v>308</v>
      </c>
      <c r="C6" s="158"/>
      <c r="D6" s="60">
        <f>SUMIF(G:G,"Staff",L:L)</f>
        <v>23375</v>
      </c>
      <c r="E6" s="164">
        <f>D6+D7</f>
        <v>279285</v>
      </c>
      <c r="F6" s="151">
        <f>SUMIFS(H:H,G:G,"Staff",O:O,"&lt;&gt;Error")</f>
        <v>85</v>
      </c>
      <c r="G6" s="58"/>
      <c r="H6" s="161" t="s">
        <v>349</v>
      </c>
      <c r="I6" s="161"/>
      <c r="J6" s="161"/>
      <c r="K6" s="59"/>
      <c r="L6" s="59"/>
      <c r="M6" s="59"/>
      <c r="N6" s="59"/>
      <c r="O6" s="92"/>
    </row>
    <row r="7" spans="2:15" s="25" customFormat="1" ht="20.100000000000001" customHeight="1" x14ac:dyDescent="0.25">
      <c r="B7" s="155" t="s">
        <v>309</v>
      </c>
      <c r="C7" s="156"/>
      <c r="D7" s="61">
        <f>SUMIF(G:G,"Staff",M:M)</f>
        <v>255910</v>
      </c>
      <c r="E7" s="165"/>
      <c r="F7" s="152"/>
      <c r="G7" s="58"/>
      <c r="H7" s="160" t="s">
        <v>348</v>
      </c>
      <c r="I7" s="160"/>
      <c r="J7" s="160"/>
      <c r="K7" s="59"/>
      <c r="L7" s="59"/>
      <c r="M7" s="59"/>
      <c r="N7" s="59"/>
      <c r="O7" s="92"/>
    </row>
    <row r="8" spans="2:15" s="25" customFormat="1" ht="20.100000000000001" customHeight="1" x14ac:dyDescent="0.25">
      <c r="B8" s="157" t="s">
        <v>310</v>
      </c>
      <c r="C8" s="158"/>
      <c r="D8" s="60">
        <f>SUM(L:L)</f>
        <v>25300</v>
      </c>
      <c r="E8" s="162">
        <f>D8+D9</f>
        <v>292480</v>
      </c>
      <c r="F8" s="149">
        <f>F4+F6</f>
        <v>92</v>
      </c>
      <c r="G8" s="58"/>
      <c r="H8" s="160"/>
      <c r="I8" s="160"/>
      <c r="J8" s="160"/>
      <c r="K8" s="59"/>
      <c r="L8" s="59"/>
      <c r="M8" s="59"/>
      <c r="N8" s="59"/>
      <c r="O8" s="92"/>
    </row>
    <row r="9" spans="2:15" s="25" customFormat="1" ht="20.100000000000001" customHeight="1" x14ac:dyDescent="0.25">
      <c r="B9" s="155" t="s">
        <v>311</v>
      </c>
      <c r="C9" s="156"/>
      <c r="D9" s="61">
        <f>SUM(M:M)</f>
        <v>267180</v>
      </c>
      <c r="E9" s="163"/>
      <c r="F9" s="150"/>
      <c r="G9" s="58"/>
      <c r="H9" s="160"/>
      <c r="I9" s="160"/>
      <c r="J9" s="160"/>
      <c r="K9" s="59"/>
      <c r="L9" s="59"/>
      <c r="M9" s="59"/>
      <c r="N9" s="59"/>
      <c r="O9" s="92"/>
    </row>
    <row r="10" spans="2:15" s="25" customFormat="1" ht="8.1" customHeight="1" x14ac:dyDescent="0.25">
      <c r="B10" s="128"/>
      <c r="C10" s="129"/>
      <c r="D10" s="129"/>
      <c r="E10" s="129"/>
      <c r="F10" s="129"/>
      <c r="G10" s="129"/>
      <c r="H10" s="129"/>
      <c r="I10" s="129"/>
      <c r="J10" s="129"/>
      <c r="K10" s="129"/>
      <c r="L10" s="129"/>
      <c r="M10" s="129"/>
      <c r="N10" s="129"/>
      <c r="O10" s="130"/>
    </row>
    <row r="11" spans="2:15" s="53" customFormat="1" ht="42" customHeight="1" x14ac:dyDescent="0.25">
      <c r="B11" s="123" t="s">
        <v>164</v>
      </c>
      <c r="C11" s="123" t="s">
        <v>149</v>
      </c>
      <c r="D11" s="123" t="s">
        <v>218</v>
      </c>
      <c r="E11" s="123" t="s">
        <v>219</v>
      </c>
      <c r="F11" s="135" t="s">
        <v>225</v>
      </c>
      <c r="G11" s="123" t="s">
        <v>216</v>
      </c>
      <c r="H11" s="123" t="s">
        <v>215</v>
      </c>
      <c r="I11" s="146" t="s">
        <v>226</v>
      </c>
      <c r="J11" s="135" t="s">
        <v>214</v>
      </c>
      <c r="K11" s="123" t="s">
        <v>211</v>
      </c>
      <c r="L11" s="148" t="s">
        <v>173</v>
      </c>
      <c r="M11" s="123" t="s">
        <v>177</v>
      </c>
      <c r="N11" s="123" t="s">
        <v>165</v>
      </c>
      <c r="O11" s="159" t="s">
        <v>220</v>
      </c>
    </row>
    <row r="12" spans="2:15" ht="23.85" customHeight="1" x14ac:dyDescent="0.25">
      <c r="B12" s="124"/>
      <c r="C12" s="124"/>
      <c r="D12" s="124"/>
      <c r="E12" s="124"/>
      <c r="F12" s="124"/>
      <c r="G12" s="124"/>
      <c r="H12" s="124"/>
      <c r="I12" s="147"/>
      <c r="J12" s="124"/>
      <c r="K12" s="124"/>
      <c r="L12" s="147"/>
      <c r="M12" s="124"/>
      <c r="N12" s="124"/>
      <c r="O12" s="124"/>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175</v>
      </c>
      <c r="C14" s="24" t="s">
        <v>9</v>
      </c>
      <c r="D14" s="50" t="str">
        <f t="shared" si="0"/>
        <v>Vaisala</v>
      </c>
      <c r="E14" s="50" t="str">
        <f t="shared" si="1"/>
        <v>Finland</v>
      </c>
      <c r="F14" s="23" t="s">
        <v>363</v>
      </c>
      <c r="G14" s="93" t="s">
        <v>210</v>
      </c>
      <c r="H14" s="94">
        <v>8</v>
      </c>
      <c r="I14" s="23" t="s">
        <v>362</v>
      </c>
      <c r="J14" s="19" t="s">
        <v>152</v>
      </c>
      <c r="K14" s="94">
        <v>35</v>
      </c>
      <c r="L14" s="44">
        <f t="shared" si="2"/>
        <v>2200</v>
      </c>
      <c r="M14" s="45">
        <f t="shared" si="3"/>
        <v>25200</v>
      </c>
      <c r="N14" s="46">
        <f t="shared" ref="N14:N30" si="6">L14+M14</f>
        <v>27400</v>
      </c>
      <c r="O14" s="40" t="str">
        <f t="shared" si="5"/>
        <v/>
      </c>
    </row>
    <row r="15" spans="2:15" s="41" customFormat="1" x14ac:dyDescent="0.25">
      <c r="B15" s="19" t="s">
        <v>175</v>
      </c>
      <c r="C15" s="24" t="s">
        <v>10</v>
      </c>
      <c r="D15" s="50" t="str">
        <f t="shared" ref="D15:D17" si="7">IFERROR(IF(VLOOKUP(C15,PartnerN°Ref,2,FALSE)=0,"",VLOOKUP(C15,PartnerN°Ref,2,FALSE)),"")</f>
        <v>Swedish Recycling</v>
      </c>
      <c r="E15" s="50" t="str">
        <f t="shared" ref="E15:E17" si="8">IFERROR(IF(OR(VLOOKUP(C15,PartnerN°Ref,4,FALSE)="Country not found",VLOOKUP(C15,PartnerN°Ref,3,FALSE)=0),"",VLOOKUP(C15,PartnerN°Ref,3,FALSE)),"")</f>
        <v>Sweden</v>
      </c>
      <c r="F15" s="23" t="s">
        <v>365</v>
      </c>
      <c r="G15" s="93" t="s">
        <v>210</v>
      </c>
      <c r="H15" s="94">
        <v>4</v>
      </c>
      <c r="I15" s="23" t="s">
        <v>362</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25">
      <c r="B16" s="19" t="s">
        <v>175</v>
      </c>
      <c r="C16" s="24" t="s">
        <v>11</v>
      </c>
      <c r="D16" s="50" t="str">
        <f t="shared" si="7"/>
        <v>Xebia</v>
      </c>
      <c r="E16" s="50" t="str">
        <f t="shared" si="8"/>
        <v>Netherlands</v>
      </c>
      <c r="F16" s="23" t="s">
        <v>364</v>
      </c>
      <c r="G16" s="93" t="s">
        <v>210</v>
      </c>
      <c r="H16" s="94">
        <v>3</v>
      </c>
      <c r="I16" s="23" t="s">
        <v>362</v>
      </c>
      <c r="J16" s="19" t="s">
        <v>152</v>
      </c>
      <c r="K16" s="94">
        <v>35</v>
      </c>
      <c r="L16" s="44">
        <f t="shared" si="9"/>
        <v>825</v>
      </c>
      <c r="M16" s="45">
        <f t="shared" si="10"/>
        <v>9450</v>
      </c>
      <c r="N16" s="46">
        <f t="shared" si="6"/>
        <v>10275</v>
      </c>
      <c r="O16" s="40" t="str">
        <f t="shared" si="5"/>
        <v/>
      </c>
    </row>
    <row r="17" spans="2:15" s="41" customFormat="1" x14ac:dyDescent="0.25">
      <c r="B17" s="19" t="s">
        <v>175</v>
      </c>
      <c r="C17" s="24" t="s">
        <v>12</v>
      </c>
      <c r="D17" s="50" t="str">
        <f t="shared" si="7"/>
        <v>School of Electrical Engineering</v>
      </c>
      <c r="E17" s="50" t="str">
        <f t="shared" si="8"/>
        <v>Serbia</v>
      </c>
      <c r="F17" s="23" t="s">
        <v>366</v>
      </c>
      <c r="G17" s="93" t="s">
        <v>212</v>
      </c>
      <c r="H17" s="94">
        <v>7</v>
      </c>
      <c r="I17" s="23" t="s">
        <v>362</v>
      </c>
      <c r="J17" s="19" t="s">
        <v>152</v>
      </c>
      <c r="K17" s="94">
        <v>35</v>
      </c>
      <c r="L17" s="44">
        <f t="shared" si="9"/>
        <v>1925</v>
      </c>
      <c r="M17" s="45">
        <f t="shared" si="10"/>
        <v>11270</v>
      </c>
      <c r="N17" s="46">
        <f t="shared" si="6"/>
        <v>13195</v>
      </c>
      <c r="O17" s="40" t="str">
        <f t="shared" si="5"/>
        <v/>
      </c>
    </row>
    <row r="18" spans="2:15" s="41" customFormat="1" ht="36" x14ac:dyDescent="0.25">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362</v>
      </c>
      <c r="G18" s="93" t="s">
        <v>210</v>
      </c>
      <c r="H18" s="94">
        <v>5</v>
      </c>
      <c r="I18" s="23" t="s">
        <v>363</v>
      </c>
      <c r="J18" s="19" t="s">
        <v>152</v>
      </c>
      <c r="K18" s="94">
        <v>3</v>
      </c>
      <c r="L18" s="44">
        <f t="shared" ref="L18:L30" si="13">IF(O18="Error",0,ROUND(ROUND(H18,0)*(VLOOKUP(J18,TravelCosts,2,FALSE)),2))</f>
        <v>1375</v>
      </c>
      <c r="M18" s="45">
        <f t="shared" ref="M18:M30" si="14">IF(O18="Error",0,IF(AND(G18="Staff",K18&gt;0,K18&lt;15),(120*K18)*H18,IF(AND(G18="Staff",K18&gt;14,K18&lt;61),(1680+((K18-14)*70))*H18,IF(AND(G18="Staff",K18&gt;60,K18&lt;91),(4900+((K18-60)*50))*H18,IF(AND(G18="Student",K18&gt;0,K18&lt;15),(55*K18)*H18,IF(AND(G18="Student",K18&gt;14,K18&lt;91),(770+((K18-14)*40))*H18,0))))))</f>
        <v>1800</v>
      </c>
      <c r="N18" s="46">
        <f t="shared" si="6"/>
        <v>3175</v>
      </c>
      <c r="O18" s="40" t="str">
        <f t="shared" si="5"/>
        <v/>
      </c>
    </row>
    <row r="19" spans="2:15" s="41" customFormat="1" x14ac:dyDescent="0.25">
      <c r="B19" s="19" t="s">
        <v>322</v>
      </c>
      <c r="C19" s="24" t="s">
        <v>10</v>
      </c>
      <c r="D19" s="50" t="str">
        <f t="shared" si="11"/>
        <v>Swedish Recycling</v>
      </c>
      <c r="E19" s="50" t="str">
        <f t="shared" si="12"/>
        <v>Sweden</v>
      </c>
      <c r="F19" s="23" t="s">
        <v>365</v>
      </c>
      <c r="G19" s="93" t="s">
        <v>210</v>
      </c>
      <c r="H19" s="94">
        <v>4</v>
      </c>
      <c r="I19" s="23" t="s">
        <v>363</v>
      </c>
      <c r="J19" s="19" t="s">
        <v>152</v>
      </c>
      <c r="K19" s="94">
        <v>3</v>
      </c>
      <c r="L19" s="44">
        <f t="shared" si="13"/>
        <v>1100</v>
      </c>
      <c r="M19" s="45">
        <f t="shared" si="14"/>
        <v>1440</v>
      </c>
      <c r="N19" s="46">
        <f t="shared" si="6"/>
        <v>2540</v>
      </c>
      <c r="O19" s="40" t="str">
        <f t="shared" si="5"/>
        <v/>
      </c>
    </row>
    <row r="20" spans="2:15" s="41" customFormat="1" x14ac:dyDescent="0.25">
      <c r="B20" s="19" t="s">
        <v>322</v>
      </c>
      <c r="C20" s="24" t="s">
        <v>11</v>
      </c>
      <c r="D20" s="50" t="str">
        <f t="shared" si="11"/>
        <v>Xebia</v>
      </c>
      <c r="E20" s="50" t="str">
        <f t="shared" si="12"/>
        <v>Netherlands</v>
      </c>
      <c r="F20" s="23" t="s">
        <v>364</v>
      </c>
      <c r="G20" s="93" t="s">
        <v>210</v>
      </c>
      <c r="H20" s="94">
        <v>4</v>
      </c>
      <c r="I20" s="23" t="s">
        <v>363</v>
      </c>
      <c r="J20" s="19" t="s">
        <v>152</v>
      </c>
      <c r="K20" s="94">
        <v>3</v>
      </c>
      <c r="L20" s="44">
        <f t="shared" si="13"/>
        <v>1100</v>
      </c>
      <c r="M20" s="45">
        <f t="shared" si="14"/>
        <v>1440</v>
      </c>
      <c r="N20" s="46">
        <f t="shared" si="6"/>
        <v>2540</v>
      </c>
      <c r="O20" s="40" t="str">
        <f t="shared" si="5"/>
        <v/>
      </c>
    </row>
    <row r="21" spans="2:15" s="41" customFormat="1" x14ac:dyDescent="0.25">
      <c r="B21" s="19" t="s">
        <v>322</v>
      </c>
      <c r="C21" s="24" t="s">
        <v>12</v>
      </c>
      <c r="D21" s="50" t="str">
        <f t="shared" si="11"/>
        <v>School of Electrical Engineering</v>
      </c>
      <c r="E21" s="50" t="str">
        <f t="shared" si="12"/>
        <v>Serbia</v>
      </c>
      <c r="F21" s="23" t="s">
        <v>366</v>
      </c>
      <c r="G21" s="93" t="s">
        <v>210</v>
      </c>
      <c r="H21" s="94">
        <v>3</v>
      </c>
      <c r="I21" s="23" t="s">
        <v>363</v>
      </c>
      <c r="J21" s="19" t="s">
        <v>152</v>
      </c>
      <c r="K21" s="94">
        <v>3</v>
      </c>
      <c r="L21" s="44">
        <f t="shared" si="13"/>
        <v>825</v>
      </c>
      <c r="M21" s="45">
        <f t="shared" si="14"/>
        <v>1080</v>
      </c>
      <c r="N21" s="46">
        <f t="shared" si="6"/>
        <v>1905</v>
      </c>
      <c r="O21" s="40" t="str">
        <f t="shared" si="5"/>
        <v/>
      </c>
    </row>
    <row r="22" spans="2:15" s="41" customFormat="1" ht="36" x14ac:dyDescent="0.25">
      <c r="B22" s="19" t="s">
        <v>174</v>
      </c>
      <c r="C22" s="24" t="s">
        <v>8</v>
      </c>
      <c r="D22" s="50" t="str">
        <f t="shared" si="11"/>
        <v xml:space="preserve">Bundesministerium für Umwelt, Naturschutz und nukleare Sicherheit </v>
      </c>
      <c r="E22" s="50" t="str">
        <f t="shared" si="12"/>
        <v>Germany</v>
      </c>
      <c r="F22" s="23" t="s">
        <v>362</v>
      </c>
      <c r="G22" s="93" t="s">
        <v>210</v>
      </c>
      <c r="H22" s="94">
        <v>10</v>
      </c>
      <c r="I22" s="23" t="s">
        <v>364</v>
      </c>
      <c r="J22" s="19" t="s">
        <v>152</v>
      </c>
      <c r="K22" s="94">
        <v>80</v>
      </c>
      <c r="L22" s="44">
        <f t="shared" si="13"/>
        <v>2750</v>
      </c>
      <c r="M22" s="45">
        <f t="shared" si="14"/>
        <v>59000</v>
      </c>
      <c r="N22" s="46">
        <f t="shared" si="6"/>
        <v>61750</v>
      </c>
      <c r="O22" s="40" t="str">
        <f t="shared" si="5"/>
        <v/>
      </c>
    </row>
    <row r="23" spans="2:15" s="41" customFormat="1" x14ac:dyDescent="0.25">
      <c r="B23" s="19" t="s">
        <v>174</v>
      </c>
      <c r="C23" s="24" t="s">
        <v>9</v>
      </c>
      <c r="D23" s="50" t="str">
        <f t="shared" si="11"/>
        <v>Vaisala</v>
      </c>
      <c r="E23" s="50" t="str">
        <f t="shared" si="12"/>
        <v>Finland</v>
      </c>
      <c r="F23" s="23" t="s">
        <v>363</v>
      </c>
      <c r="G23" s="93" t="s">
        <v>210</v>
      </c>
      <c r="H23" s="94">
        <v>7</v>
      </c>
      <c r="I23" s="23" t="s">
        <v>364</v>
      </c>
      <c r="J23" s="19" t="s">
        <v>152</v>
      </c>
      <c r="K23" s="94">
        <v>85</v>
      </c>
      <c r="L23" s="44">
        <f t="shared" si="13"/>
        <v>1925</v>
      </c>
      <c r="M23" s="45">
        <f t="shared" si="14"/>
        <v>43050</v>
      </c>
      <c r="N23" s="46">
        <f t="shared" si="6"/>
        <v>44975</v>
      </c>
      <c r="O23" s="40" t="str">
        <f t="shared" si="5"/>
        <v/>
      </c>
    </row>
    <row r="24" spans="2:15" s="41" customFormat="1" x14ac:dyDescent="0.25">
      <c r="B24" s="19" t="s">
        <v>174</v>
      </c>
      <c r="C24" s="24" t="s">
        <v>10</v>
      </c>
      <c r="D24" s="50" t="str">
        <f t="shared" si="11"/>
        <v>Swedish Recycling</v>
      </c>
      <c r="E24" s="50" t="str">
        <f t="shared" si="12"/>
        <v>Sweden</v>
      </c>
      <c r="F24" s="23" t="s">
        <v>365</v>
      </c>
      <c r="G24" s="93" t="s">
        <v>210</v>
      </c>
      <c r="H24" s="94">
        <v>5</v>
      </c>
      <c r="I24" s="23" t="s">
        <v>364</v>
      </c>
      <c r="J24" s="19" t="s">
        <v>152</v>
      </c>
      <c r="K24" s="94">
        <v>45</v>
      </c>
      <c r="L24" s="44">
        <f t="shared" si="13"/>
        <v>1375</v>
      </c>
      <c r="M24" s="45">
        <f t="shared" si="14"/>
        <v>19250</v>
      </c>
      <c r="N24" s="46">
        <f t="shared" si="6"/>
        <v>20625</v>
      </c>
      <c r="O24" s="40" t="str">
        <f t="shared" si="5"/>
        <v/>
      </c>
    </row>
    <row r="25" spans="2:15" s="41" customFormat="1" x14ac:dyDescent="0.25">
      <c r="B25" s="19" t="s">
        <v>174</v>
      </c>
      <c r="C25" s="24" t="s">
        <v>12</v>
      </c>
      <c r="D25" s="50" t="str">
        <f t="shared" si="11"/>
        <v>School of Electrical Engineering</v>
      </c>
      <c r="E25" s="50" t="str">
        <f t="shared" si="12"/>
        <v>Serbia</v>
      </c>
      <c r="F25" s="23" t="s">
        <v>366</v>
      </c>
      <c r="G25" s="93" t="s">
        <v>210</v>
      </c>
      <c r="H25" s="94">
        <v>5</v>
      </c>
      <c r="I25" s="23" t="s">
        <v>364</v>
      </c>
      <c r="J25" s="19" t="s">
        <v>152</v>
      </c>
      <c r="K25" s="94">
        <v>70</v>
      </c>
      <c r="L25" s="44">
        <f t="shared" si="13"/>
        <v>1375</v>
      </c>
      <c r="M25" s="45">
        <f t="shared" si="14"/>
        <v>27000</v>
      </c>
      <c r="N25" s="46">
        <f t="shared" si="6"/>
        <v>28375</v>
      </c>
      <c r="O25" s="40" t="str">
        <f t="shared" si="5"/>
        <v/>
      </c>
    </row>
    <row r="26" spans="2:15" s="41" customFormat="1" ht="36" x14ac:dyDescent="0.25">
      <c r="B26" s="19" t="s">
        <v>323</v>
      </c>
      <c r="C26" s="24" t="s">
        <v>8</v>
      </c>
      <c r="D26" s="50" t="str">
        <f t="shared" si="11"/>
        <v xml:space="preserve">Bundesministerium für Umwelt, Naturschutz und nukleare Sicherheit </v>
      </c>
      <c r="E26" s="50" t="str">
        <f t="shared" si="12"/>
        <v>Germany</v>
      </c>
      <c r="F26" s="23" t="s">
        <v>362</v>
      </c>
      <c r="G26" s="93" t="s">
        <v>210</v>
      </c>
      <c r="H26" s="94">
        <v>6</v>
      </c>
      <c r="I26" s="23" t="s">
        <v>365</v>
      </c>
      <c r="J26" s="19" t="s">
        <v>152</v>
      </c>
      <c r="K26" s="94">
        <v>15</v>
      </c>
      <c r="L26" s="44">
        <f t="shared" si="13"/>
        <v>1650</v>
      </c>
      <c r="M26" s="45">
        <f t="shared" si="14"/>
        <v>10500</v>
      </c>
      <c r="N26" s="46">
        <f t="shared" si="6"/>
        <v>12150</v>
      </c>
      <c r="O26" s="40" t="str">
        <f t="shared" si="5"/>
        <v/>
      </c>
    </row>
    <row r="27" spans="2:15" s="41" customFormat="1" x14ac:dyDescent="0.25">
      <c r="B27" s="19" t="s">
        <v>176</v>
      </c>
      <c r="C27" s="24" t="s">
        <v>9</v>
      </c>
      <c r="D27" s="50" t="str">
        <f t="shared" si="11"/>
        <v>Vaisala</v>
      </c>
      <c r="E27" s="50" t="str">
        <f t="shared" si="12"/>
        <v>Finland</v>
      </c>
      <c r="F27" s="23" t="s">
        <v>363</v>
      </c>
      <c r="G27" s="93" t="s">
        <v>210</v>
      </c>
      <c r="H27" s="94">
        <v>6</v>
      </c>
      <c r="I27" s="23" t="s">
        <v>362</v>
      </c>
      <c r="J27" s="19" t="s">
        <v>152</v>
      </c>
      <c r="K27" s="94">
        <v>20</v>
      </c>
      <c r="L27" s="44">
        <f t="shared" si="13"/>
        <v>1650</v>
      </c>
      <c r="M27" s="45">
        <f t="shared" si="14"/>
        <v>12600</v>
      </c>
      <c r="N27" s="46">
        <f t="shared" si="6"/>
        <v>14250</v>
      </c>
      <c r="O27" s="40" t="str">
        <f t="shared" si="5"/>
        <v/>
      </c>
    </row>
    <row r="28" spans="2:15" s="41" customFormat="1" x14ac:dyDescent="0.25">
      <c r="B28" s="19" t="s">
        <v>176</v>
      </c>
      <c r="C28" s="24" t="s">
        <v>10</v>
      </c>
      <c r="D28" s="50" t="str">
        <f t="shared" si="11"/>
        <v>Swedish Recycling</v>
      </c>
      <c r="E28" s="50" t="str">
        <f t="shared" si="12"/>
        <v>Sweden</v>
      </c>
      <c r="F28" s="23" t="s">
        <v>365</v>
      </c>
      <c r="G28" s="93" t="s">
        <v>210</v>
      </c>
      <c r="H28" s="94">
        <v>6</v>
      </c>
      <c r="I28" s="23" t="s">
        <v>362</v>
      </c>
      <c r="J28" s="19" t="s">
        <v>152</v>
      </c>
      <c r="K28" s="94">
        <v>20</v>
      </c>
      <c r="L28" s="44">
        <f t="shared" si="13"/>
        <v>1650</v>
      </c>
      <c r="M28" s="45">
        <f t="shared" si="14"/>
        <v>12600</v>
      </c>
      <c r="N28" s="46">
        <f t="shared" si="6"/>
        <v>14250</v>
      </c>
      <c r="O28" s="40" t="str">
        <f t="shared" si="5"/>
        <v/>
      </c>
    </row>
    <row r="29" spans="2:15" s="41" customFormat="1" x14ac:dyDescent="0.25">
      <c r="B29" s="19" t="s">
        <v>176</v>
      </c>
      <c r="C29" s="24" t="s">
        <v>11</v>
      </c>
      <c r="D29" s="50" t="str">
        <f t="shared" si="11"/>
        <v>Xebia</v>
      </c>
      <c r="E29" s="50" t="str">
        <f t="shared" si="12"/>
        <v>Netherlands</v>
      </c>
      <c r="F29" s="23" t="s">
        <v>364</v>
      </c>
      <c r="G29" s="93" t="s">
        <v>210</v>
      </c>
      <c r="H29" s="94">
        <v>5</v>
      </c>
      <c r="I29" s="23" t="s">
        <v>362</v>
      </c>
      <c r="J29" s="19" t="s">
        <v>152</v>
      </c>
      <c r="K29" s="94">
        <v>20</v>
      </c>
      <c r="L29" s="44">
        <f t="shared" si="13"/>
        <v>1375</v>
      </c>
      <c r="M29" s="45">
        <f t="shared" si="14"/>
        <v>10500</v>
      </c>
      <c r="N29" s="46">
        <f t="shared" si="6"/>
        <v>11875</v>
      </c>
      <c r="O29" s="40" t="str">
        <f t="shared" si="5"/>
        <v/>
      </c>
    </row>
    <row r="30" spans="2:15" s="41" customFormat="1" x14ac:dyDescent="0.25">
      <c r="B30" s="19" t="s">
        <v>176</v>
      </c>
      <c r="C30" s="24" t="s">
        <v>12</v>
      </c>
      <c r="D30" s="50" t="str">
        <f t="shared" si="11"/>
        <v>School of Electrical Engineering</v>
      </c>
      <c r="E30" s="50" t="str">
        <f t="shared" si="12"/>
        <v>Serbia</v>
      </c>
      <c r="F30" s="23" t="s">
        <v>366</v>
      </c>
      <c r="G30" s="93" t="s">
        <v>210</v>
      </c>
      <c r="H30" s="94">
        <v>4</v>
      </c>
      <c r="I30" s="23" t="s">
        <v>362</v>
      </c>
      <c r="J30" s="19" t="s">
        <v>152</v>
      </c>
      <c r="K30" s="94">
        <v>20</v>
      </c>
      <c r="L30" s="44">
        <f t="shared" si="13"/>
        <v>1100</v>
      </c>
      <c r="M30" s="45">
        <f t="shared" si="14"/>
        <v>8400</v>
      </c>
      <c r="N30" s="46">
        <f t="shared" si="6"/>
        <v>9500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H6:J6"/>
    <mergeCell ref="B3:O3"/>
    <mergeCell ref="E8:E9"/>
    <mergeCell ref="E6:E7"/>
    <mergeCell ref="E4:E5"/>
    <mergeCell ref="B6:C6"/>
    <mergeCell ref="B5:C5"/>
    <mergeCell ref="B4:C4"/>
    <mergeCell ref="H4:I4"/>
    <mergeCell ref="K4:N4"/>
    <mergeCell ref="C11:C12"/>
    <mergeCell ref="B9:C9"/>
    <mergeCell ref="B8:C8"/>
    <mergeCell ref="B7:C7"/>
    <mergeCell ref="B10:O10"/>
    <mergeCell ref="O11:O12"/>
    <mergeCell ref="H7:J9"/>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s>
  <conditionalFormatting sqref="O13:O14">
    <cfRule type="containsText" dxfId="271" priority="1601" operator="containsText" text="Error">
      <formula>NOT(ISERROR(SEARCH("Error",O13)))</formula>
    </cfRule>
  </conditionalFormatting>
  <conditionalFormatting sqref="D13:E14">
    <cfRule type="containsBlanks" dxfId="270" priority="1599">
      <formula>LEN(TRIM(D13))=0</formula>
    </cfRule>
  </conditionalFormatting>
  <conditionalFormatting sqref="K4:N4">
    <cfRule type="cellIs" dxfId="269" priority="1347" operator="equal">
      <formula>"EXCEEDING 80% OF TOTAL TRAVEL COSTS"</formula>
    </cfRule>
  </conditionalFormatting>
  <conditionalFormatting sqref="H13 K13">
    <cfRule type="expression" dxfId="268" priority="1339">
      <formula>ISNUMBER(H13)=FALSE</formula>
    </cfRule>
  </conditionalFormatting>
  <conditionalFormatting sqref="F13:K13 I23:I25 I19:I21 I15:I17">
    <cfRule type="containsBlanks" dxfId="267" priority="264">
      <formula>LEN(TRIM(F13))=0</formula>
    </cfRule>
  </conditionalFormatting>
  <conditionalFormatting sqref="B13:C13">
    <cfRule type="containsBlanks" dxfId="266" priority="1331">
      <formula>LEN(TRIM(B13))=0</formula>
    </cfRule>
  </conditionalFormatting>
  <conditionalFormatting sqref="B14:C14">
    <cfRule type="containsBlanks" dxfId="265" priority="1330">
      <formula>LEN(TRIM(B14))=0</formula>
    </cfRule>
  </conditionalFormatting>
  <conditionalFormatting sqref="K13">
    <cfRule type="cellIs" dxfId="264" priority="259" operator="lessThan">
      <formula>0</formula>
    </cfRule>
    <cfRule type="cellIs" dxfId="263" priority="1344" operator="equal">
      <formula>0</formula>
    </cfRule>
  </conditionalFormatting>
  <conditionalFormatting sqref="H13">
    <cfRule type="cellIs" dxfId="262" priority="1335" operator="lessThanOrEqual">
      <formula>0</formula>
    </cfRule>
  </conditionalFormatting>
  <conditionalFormatting sqref="H14 K14">
    <cfRule type="expression" dxfId="261" priority="257">
      <formula>ISNUMBER(H14)=FALSE</formula>
    </cfRule>
  </conditionalFormatting>
  <conditionalFormatting sqref="F14:K14">
    <cfRule type="containsBlanks" dxfId="260" priority="255">
      <formula>LEN(TRIM(F14))=0</formula>
    </cfRule>
  </conditionalFormatting>
  <conditionalFormatting sqref="K14">
    <cfRule type="cellIs" dxfId="259" priority="254" operator="lessThan">
      <formula>0</formula>
    </cfRule>
    <cfRule type="cellIs" dxfId="258" priority="258" operator="equal">
      <formula>0</formula>
    </cfRule>
  </conditionalFormatting>
  <conditionalFormatting sqref="H14">
    <cfRule type="cellIs" dxfId="257" priority="256" operator="lessThanOrEqual">
      <formula>0</formula>
    </cfRule>
  </conditionalFormatting>
  <conditionalFormatting sqref="O18">
    <cfRule type="containsText" dxfId="256" priority="253" operator="containsText" text="Error">
      <formula>NOT(ISERROR(SEARCH("Error",O18)))</formula>
    </cfRule>
  </conditionalFormatting>
  <conditionalFormatting sqref="D18:E18">
    <cfRule type="containsBlanks" dxfId="255" priority="252">
      <formula>LEN(TRIM(D18))=0</formula>
    </cfRule>
  </conditionalFormatting>
  <conditionalFormatting sqref="H18 K18">
    <cfRule type="expression" dxfId="254" priority="250">
      <formula>ISNUMBER(H18)=FALSE</formula>
    </cfRule>
  </conditionalFormatting>
  <conditionalFormatting sqref="F18:K18">
    <cfRule type="containsBlanks" dxfId="253" priority="247">
      <formula>LEN(TRIM(F18))=0</formula>
    </cfRule>
  </conditionalFormatting>
  <conditionalFormatting sqref="B18:C18">
    <cfRule type="containsBlanks" dxfId="252" priority="248">
      <formula>LEN(TRIM(B18))=0</formula>
    </cfRule>
  </conditionalFormatting>
  <conditionalFormatting sqref="K18">
    <cfRule type="cellIs" dxfId="251" priority="246" operator="lessThan">
      <formula>0</formula>
    </cfRule>
    <cfRule type="cellIs" dxfId="250" priority="251" operator="equal">
      <formula>0</formula>
    </cfRule>
  </conditionalFormatting>
  <conditionalFormatting sqref="H18">
    <cfRule type="cellIs" dxfId="249" priority="249" operator="lessThanOrEqual">
      <formula>0</formula>
    </cfRule>
  </conditionalFormatting>
  <conditionalFormatting sqref="O22">
    <cfRule type="containsText" dxfId="248" priority="245" operator="containsText" text="Error">
      <formula>NOT(ISERROR(SEARCH("Error",O22)))</formula>
    </cfRule>
  </conditionalFormatting>
  <conditionalFormatting sqref="D22:E22">
    <cfRule type="containsBlanks" dxfId="247" priority="244">
      <formula>LEN(TRIM(D22))=0</formula>
    </cfRule>
  </conditionalFormatting>
  <conditionalFormatting sqref="H22 K22">
    <cfRule type="expression" dxfId="246" priority="242">
      <formula>ISNUMBER(H22)=FALSE</formula>
    </cfRule>
  </conditionalFormatting>
  <conditionalFormatting sqref="F22:K22">
    <cfRule type="containsBlanks" dxfId="245" priority="239">
      <formula>LEN(TRIM(F22))=0</formula>
    </cfRule>
  </conditionalFormatting>
  <conditionalFormatting sqref="B22:C22">
    <cfRule type="containsBlanks" dxfId="244" priority="240">
      <formula>LEN(TRIM(B22))=0</formula>
    </cfRule>
  </conditionalFormatting>
  <conditionalFormatting sqref="K22">
    <cfRule type="cellIs" dxfId="243" priority="238" operator="lessThan">
      <formula>0</formula>
    </cfRule>
    <cfRule type="cellIs" dxfId="242" priority="243" operator="equal">
      <formula>0</formula>
    </cfRule>
  </conditionalFormatting>
  <conditionalFormatting sqref="H22">
    <cfRule type="cellIs" dxfId="241" priority="241" operator="lessThanOrEqual">
      <formula>0</formula>
    </cfRule>
  </conditionalFormatting>
  <conditionalFormatting sqref="O26">
    <cfRule type="containsText" dxfId="240" priority="237" operator="containsText" text="Error">
      <formula>NOT(ISERROR(SEARCH("Error",O26)))</formula>
    </cfRule>
  </conditionalFormatting>
  <conditionalFormatting sqref="D26:E26">
    <cfRule type="containsBlanks" dxfId="239" priority="236">
      <formula>LEN(TRIM(D26))=0</formula>
    </cfRule>
  </conditionalFormatting>
  <conditionalFormatting sqref="H26 K26">
    <cfRule type="expression" dxfId="238" priority="234">
      <formula>ISNUMBER(H26)=FALSE</formula>
    </cfRule>
  </conditionalFormatting>
  <conditionalFormatting sqref="F26:K26">
    <cfRule type="containsBlanks" dxfId="237" priority="231">
      <formula>LEN(TRIM(F26))=0</formula>
    </cfRule>
  </conditionalFormatting>
  <conditionalFormatting sqref="B26:C26">
    <cfRule type="containsBlanks" dxfId="236" priority="232">
      <formula>LEN(TRIM(B26))=0</formula>
    </cfRule>
  </conditionalFormatting>
  <conditionalFormatting sqref="K26">
    <cfRule type="cellIs" dxfId="235" priority="230" operator="lessThan">
      <formula>0</formula>
    </cfRule>
    <cfRule type="cellIs" dxfId="234" priority="235" operator="equal">
      <formula>0</formula>
    </cfRule>
  </conditionalFormatting>
  <conditionalFormatting sqref="H26">
    <cfRule type="cellIs" dxfId="233" priority="233" operator="lessThanOrEqual">
      <formula>0</formula>
    </cfRule>
  </conditionalFormatting>
  <conditionalFormatting sqref="I27:I30">
    <cfRule type="containsBlanks" dxfId="232" priority="223">
      <formula>LEN(TRIM(I27))=0</formula>
    </cfRule>
  </conditionalFormatting>
  <conditionalFormatting sqref="O15">
    <cfRule type="containsText" dxfId="231" priority="205" operator="containsText" text="Error">
      <formula>NOT(ISERROR(SEARCH("Error",O15)))</formula>
    </cfRule>
  </conditionalFormatting>
  <conditionalFormatting sqref="D15:E15">
    <cfRule type="containsBlanks" dxfId="230" priority="204">
      <formula>LEN(TRIM(D15))=0</formula>
    </cfRule>
  </conditionalFormatting>
  <conditionalFormatting sqref="H15 K15">
    <cfRule type="expression" dxfId="229" priority="202">
      <formula>ISNUMBER(H15)=FALSE</formula>
    </cfRule>
  </conditionalFormatting>
  <conditionalFormatting sqref="F15:H15 J15:K15">
    <cfRule type="containsBlanks" dxfId="228" priority="199">
      <formula>LEN(TRIM(F15))=0</formula>
    </cfRule>
  </conditionalFormatting>
  <conditionalFormatting sqref="B15:C15">
    <cfRule type="containsBlanks" dxfId="227" priority="200">
      <formula>LEN(TRIM(B15))=0</formula>
    </cfRule>
  </conditionalFormatting>
  <conditionalFormatting sqref="K15">
    <cfRule type="cellIs" dxfId="226" priority="198" operator="lessThan">
      <formula>0</formula>
    </cfRule>
    <cfRule type="cellIs" dxfId="225" priority="203" operator="equal">
      <formula>0</formula>
    </cfRule>
  </conditionalFormatting>
  <conditionalFormatting sqref="H15">
    <cfRule type="cellIs" dxfId="224" priority="201" operator="lessThanOrEqual">
      <formula>0</formula>
    </cfRule>
  </conditionalFormatting>
  <conditionalFormatting sqref="O16">
    <cfRule type="containsText" dxfId="223" priority="197" operator="containsText" text="Error">
      <formula>NOT(ISERROR(SEARCH("Error",O16)))</formula>
    </cfRule>
  </conditionalFormatting>
  <conditionalFormatting sqref="D16:E16">
    <cfRule type="containsBlanks" dxfId="222" priority="196">
      <formula>LEN(TRIM(D16))=0</formula>
    </cfRule>
  </conditionalFormatting>
  <conditionalFormatting sqref="H16 K16">
    <cfRule type="expression" dxfId="221" priority="194">
      <formula>ISNUMBER(H16)=FALSE</formula>
    </cfRule>
  </conditionalFormatting>
  <conditionalFormatting sqref="F16:H16 J16:K16">
    <cfRule type="containsBlanks" dxfId="220" priority="191">
      <formula>LEN(TRIM(F16))=0</formula>
    </cfRule>
  </conditionalFormatting>
  <conditionalFormatting sqref="B16:C16">
    <cfRule type="containsBlanks" dxfId="219" priority="192">
      <formula>LEN(TRIM(B16))=0</formula>
    </cfRule>
  </conditionalFormatting>
  <conditionalFormatting sqref="K16">
    <cfRule type="cellIs" dxfId="218" priority="190" operator="lessThan">
      <formula>0</formula>
    </cfRule>
    <cfRule type="cellIs" dxfId="217" priority="195" operator="equal">
      <formula>0</formula>
    </cfRule>
  </conditionalFormatting>
  <conditionalFormatting sqref="H16">
    <cfRule type="cellIs" dxfId="216" priority="193" operator="lessThanOrEqual">
      <formula>0</formula>
    </cfRule>
  </conditionalFormatting>
  <conditionalFormatting sqref="O17">
    <cfRule type="containsText" dxfId="215" priority="189" operator="containsText" text="Error">
      <formula>NOT(ISERROR(SEARCH("Error",O17)))</formula>
    </cfRule>
  </conditionalFormatting>
  <conditionalFormatting sqref="D17:E17">
    <cfRule type="containsBlanks" dxfId="214" priority="188">
      <formula>LEN(TRIM(D17))=0</formula>
    </cfRule>
  </conditionalFormatting>
  <conditionalFormatting sqref="H17 K17">
    <cfRule type="expression" dxfId="213" priority="186">
      <formula>ISNUMBER(H17)=FALSE</formula>
    </cfRule>
  </conditionalFormatting>
  <conditionalFormatting sqref="F17:H17 J17:K17">
    <cfRule type="containsBlanks" dxfId="212" priority="183">
      <formula>LEN(TRIM(F17))=0</formula>
    </cfRule>
  </conditionalFormatting>
  <conditionalFormatting sqref="B17:C17">
    <cfRule type="containsBlanks" dxfId="211" priority="184">
      <formula>LEN(TRIM(B17))=0</formula>
    </cfRule>
  </conditionalFormatting>
  <conditionalFormatting sqref="K17">
    <cfRule type="cellIs" dxfId="210" priority="182" operator="lessThan">
      <formula>0</formula>
    </cfRule>
    <cfRule type="cellIs" dxfId="209" priority="187" operator="equal">
      <formula>0</formula>
    </cfRule>
  </conditionalFormatting>
  <conditionalFormatting sqref="H17">
    <cfRule type="cellIs" dxfId="208" priority="185" operator="lessThanOrEqual">
      <formula>0</formula>
    </cfRule>
  </conditionalFormatting>
  <conditionalFormatting sqref="O19">
    <cfRule type="containsText" dxfId="207" priority="173" operator="containsText" text="Error">
      <formula>NOT(ISERROR(SEARCH("Error",O19)))</formula>
    </cfRule>
  </conditionalFormatting>
  <conditionalFormatting sqref="D19:E19">
    <cfRule type="containsBlanks" dxfId="206" priority="172">
      <formula>LEN(TRIM(D19))=0</formula>
    </cfRule>
  </conditionalFormatting>
  <conditionalFormatting sqref="H19 K19">
    <cfRule type="expression" dxfId="205" priority="170">
      <formula>ISNUMBER(H19)=FALSE</formula>
    </cfRule>
  </conditionalFormatting>
  <conditionalFormatting sqref="F19:H19 J19:K19">
    <cfRule type="containsBlanks" dxfId="204" priority="167">
      <formula>LEN(TRIM(F19))=0</formula>
    </cfRule>
  </conditionalFormatting>
  <conditionalFormatting sqref="B19:C19">
    <cfRule type="containsBlanks" dxfId="203" priority="168">
      <formula>LEN(TRIM(B19))=0</formula>
    </cfRule>
  </conditionalFormatting>
  <conditionalFormatting sqref="K19">
    <cfRule type="cellIs" dxfId="202" priority="166" operator="lessThan">
      <formula>0</formula>
    </cfRule>
    <cfRule type="cellIs" dxfId="201" priority="171" operator="equal">
      <formula>0</formula>
    </cfRule>
  </conditionalFormatting>
  <conditionalFormatting sqref="H19">
    <cfRule type="cellIs" dxfId="200" priority="169" operator="lessThanOrEqual">
      <formula>0</formula>
    </cfRule>
  </conditionalFormatting>
  <conditionalFormatting sqref="O20">
    <cfRule type="containsText" dxfId="199" priority="165" operator="containsText" text="Error">
      <formula>NOT(ISERROR(SEARCH("Error",O20)))</formula>
    </cfRule>
  </conditionalFormatting>
  <conditionalFormatting sqref="D20:E20">
    <cfRule type="containsBlanks" dxfId="198" priority="164">
      <formula>LEN(TRIM(D20))=0</formula>
    </cfRule>
  </conditionalFormatting>
  <conditionalFormatting sqref="H20 K20">
    <cfRule type="expression" dxfId="197" priority="162">
      <formula>ISNUMBER(H20)=FALSE</formula>
    </cfRule>
  </conditionalFormatting>
  <conditionalFormatting sqref="F20:H20 J20:K20">
    <cfRule type="containsBlanks" dxfId="196" priority="159">
      <formula>LEN(TRIM(F20))=0</formula>
    </cfRule>
  </conditionalFormatting>
  <conditionalFormatting sqref="B20:C20">
    <cfRule type="containsBlanks" dxfId="195" priority="160">
      <formula>LEN(TRIM(B20))=0</formula>
    </cfRule>
  </conditionalFormatting>
  <conditionalFormatting sqref="K20">
    <cfRule type="cellIs" dxfId="194" priority="158" operator="lessThan">
      <formula>0</formula>
    </cfRule>
    <cfRule type="cellIs" dxfId="193" priority="163" operator="equal">
      <formula>0</formula>
    </cfRule>
  </conditionalFormatting>
  <conditionalFormatting sqref="H20">
    <cfRule type="cellIs" dxfId="192" priority="161" operator="lessThanOrEqual">
      <formula>0</formula>
    </cfRule>
  </conditionalFormatting>
  <conditionalFormatting sqref="O21">
    <cfRule type="containsText" dxfId="191" priority="149" operator="containsText" text="Error">
      <formula>NOT(ISERROR(SEARCH("Error",O21)))</formula>
    </cfRule>
  </conditionalFormatting>
  <conditionalFormatting sqref="D21:E21">
    <cfRule type="containsBlanks" dxfId="190" priority="148">
      <formula>LEN(TRIM(D21))=0</formula>
    </cfRule>
  </conditionalFormatting>
  <conditionalFormatting sqref="H21 K21">
    <cfRule type="expression" dxfId="189" priority="146">
      <formula>ISNUMBER(H21)=FALSE</formula>
    </cfRule>
  </conditionalFormatting>
  <conditionalFormatting sqref="F21:H21 J21:K21">
    <cfRule type="containsBlanks" dxfId="188" priority="143">
      <formula>LEN(TRIM(F21))=0</formula>
    </cfRule>
  </conditionalFormatting>
  <conditionalFormatting sqref="B21:C21">
    <cfRule type="containsBlanks" dxfId="187" priority="144">
      <formula>LEN(TRIM(B21))=0</formula>
    </cfRule>
  </conditionalFormatting>
  <conditionalFormatting sqref="K21">
    <cfRule type="cellIs" dxfId="186" priority="142" operator="lessThan">
      <formula>0</formula>
    </cfRule>
    <cfRule type="cellIs" dxfId="185" priority="147" operator="equal">
      <formula>0</formula>
    </cfRule>
  </conditionalFormatting>
  <conditionalFormatting sqref="H21">
    <cfRule type="cellIs" dxfId="184" priority="145" operator="lessThanOrEqual">
      <formula>0</formula>
    </cfRule>
  </conditionalFormatting>
  <conditionalFormatting sqref="O23">
    <cfRule type="containsText" dxfId="183" priority="109" operator="containsText" text="Error">
      <formula>NOT(ISERROR(SEARCH("Error",O23)))</formula>
    </cfRule>
  </conditionalFormatting>
  <conditionalFormatting sqref="D23:E23">
    <cfRule type="containsBlanks" dxfId="182" priority="108">
      <formula>LEN(TRIM(D23))=0</formula>
    </cfRule>
  </conditionalFormatting>
  <conditionalFormatting sqref="H23 K23">
    <cfRule type="expression" dxfId="181" priority="106">
      <formula>ISNUMBER(H23)=FALSE</formula>
    </cfRule>
  </conditionalFormatting>
  <conditionalFormatting sqref="G23:H23 J23:K23">
    <cfRule type="containsBlanks" dxfId="180" priority="103">
      <formula>LEN(TRIM(G23))=0</formula>
    </cfRule>
  </conditionalFormatting>
  <conditionalFormatting sqref="B23:C23">
    <cfRule type="containsBlanks" dxfId="179" priority="104">
      <formula>LEN(TRIM(B23))=0</formula>
    </cfRule>
  </conditionalFormatting>
  <conditionalFormatting sqref="K23">
    <cfRule type="cellIs" dxfId="178" priority="102" operator="lessThan">
      <formula>0</formula>
    </cfRule>
    <cfRule type="cellIs" dxfId="177" priority="107" operator="equal">
      <formula>0</formula>
    </cfRule>
  </conditionalFormatting>
  <conditionalFormatting sqref="H23">
    <cfRule type="cellIs" dxfId="176" priority="105" operator="lessThanOrEqual">
      <formula>0</formula>
    </cfRule>
  </conditionalFormatting>
  <conditionalFormatting sqref="O24">
    <cfRule type="containsText" dxfId="175" priority="101" operator="containsText" text="Error">
      <formula>NOT(ISERROR(SEARCH("Error",O24)))</formula>
    </cfRule>
  </conditionalFormatting>
  <conditionalFormatting sqref="D24:E24">
    <cfRule type="containsBlanks" dxfId="174" priority="100">
      <formula>LEN(TRIM(D24))=0</formula>
    </cfRule>
  </conditionalFormatting>
  <conditionalFormatting sqref="H24 K24">
    <cfRule type="expression" dxfId="173" priority="98">
      <formula>ISNUMBER(H24)=FALSE</formula>
    </cfRule>
  </conditionalFormatting>
  <conditionalFormatting sqref="F24:H24 J24:K24">
    <cfRule type="containsBlanks" dxfId="172" priority="95">
      <formula>LEN(TRIM(F24))=0</formula>
    </cfRule>
  </conditionalFormatting>
  <conditionalFormatting sqref="B24:C24">
    <cfRule type="containsBlanks" dxfId="171" priority="96">
      <formula>LEN(TRIM(B24))=0</formula>
    </cfRule>
  </conditionalFormatting>
  <conditionalFormatting sqref="K24">
    <cfRule type="cellIs" dxfId="170" priority="94" operator="lessThan">
      <formula>0</formula>
    </cfRule>
    <cfRule type="cellIs" dxfId="169" priority="99" operator="equal">
      <formula>0</formula>
    </cfRule>
  </conditionalFormatting>
  <conditionalFormatting sqref="H24">
    <cfRule type="cellIs" dxfId="168" priority="97" operator="lessThanOrEqual">
      <formula>0</formula>
    </cfRule>
  </conditionalFormatting>
  <conditionalFormatting sqref="O25">
    <cfRule type="containsText" dxfId="167" priority="85" operator="containsText" text="Error">
      <formula>NOT(ISERROR(SEARCH("Error",O25)))</formula>
    </cfRule>
  </conditionalFormatting>
  <conditionalFormatting sqref="D25:E25">
    <cfRule type="containsBlanks" dxfId="166" priority="84">
      <formula>LEN(TRIM(D25))=0</formula>
    </cfRule>
  </conditionalFormatting>
  <conditionalFormatting sqref="H25 K25">
    <cfRule type="expression" dxfId="165" priority="82">
      <formula>ISNUMBER(H25)=FALSE</formula>
    </cfRule>
  </conditionalFormatting>
  <conditionalFormatting sqref="F25:H25 J25:K25">
    <cfRule type="containsBlanks" dxfId="164" priority="79">
      <formula>LEN(TRIM(F25))=0</formula>
    </cfRule>
  </conditionalFormatting>
  <conditionalFormatting sqref="B25:C25">
    <cfRule type="containsBlanks" dxfId="163" priority="80">
      <formula>LEN(TRIM(B25))=0</formula>
    </cfRule>
  </conditionalFormatting>
  <conditionalFormatting sqref="K25">
    <cfRule type="cellIs" dxfId="162" priority="78" operator="lessThan">
      <formula>0</formula>
    </cfRule>
    <cfRule type="cellIs" dxfId="161" priority="83" operator="equal">
      <formula>0</formula>
    </cfRule>
  </conditionalFormatting>
  <conditionalFormatting sqref="H25">
    <cfRule type="cellIs" dxfId="160" priority="81" operator="lessThanOrEqual">
      <formula>0</formula>
    </cfRule>
  </conditionalFormatting>
  <conditionalFormatting sqref="O27">
    <cfRule type="containsText" dxfId="159" priority="37" operator="containsText" text="Error">
      <formula>NOT(ISERROR(SEARCH("Error",O27)))</formula>
    </cfRule>
  </conditionalFormatting>
  <conditionalFormatting sqref="D27:E27">
    <cfRule type="containsBlanks" dxfId="158" priority="36">
      <formula>LEN(TRIM(D27))=0</formula>
    </cfRule>
  </conditionalFormatting>
  <conditionalFormatting sqref="H27 K27">
    <cfRule type="expression" dxfId="157" priority="34">
      <formula>ISNUMBER(H27)=FALSE</formula>
    </cfRule>
  </conditionalFormatting>
  <conditionalFormatting sqref="G27:H27 J27:K27">
    <cfRule type="containsBlanks" dxfId="156" priority="31">
      <formula>LEN(TRIM(G27))=0</formula>
    </cfRule>
  </conditionalFormatting>
  <conditionalFormatting sqref="B27:C27">
    <cfRule type="containsBlanks" dxfId="155" priority="32">
      <formula>LEN(TRIM(B27))=0</formula>
    </cfRule>
  </conditionalFormatting>
  <conditionalFormatting sqref="K27">
    <cfRule type="cellIs" dxfId="154" priority="30" operator="lessThan">
      <formula>0</formula>
    </cfRule>
    <cfRule type="cellIs" dxfId="153" priority="35" operator="equal">
      <formula>0</formula>
    </cfRule>
  </conditionalFormatting>
  <conditionalFormatting sqref="H27">
    <cfRule type="cellIs" dxfId="152" priority="33" operator="lessThanOrEqual">
      <formula>0</formula>
    </cfRule>
  </conditionalFormatting>
  <conditionalFormatting sqref="O28">
    <cfRule type="containsText" dxfId="151" priority="29" operator="containsText" text="Error">
      <formula>NOT(ISERROR(SEARCH("Error",O28)))</formula>
    </cfRule>
  </conditionalFormatting>
  <conditionalFormatting sqref="D28:E28">
    <cfRule type="containsBlanks" dxfId="150" priority="28">
      <formula>LEN(TRIM(D28))=0</formula>
    </cfRule>
  </conditionalFormatting>
  <conditionalFormatting sqref="H28 K28">
    <cfRule type="expression" dxfId="149" priority="26">
      <formula>ISNUMBER(H28)=FALSE</formula>
    </cfRule>
  </conditionalFormatting>
  <conditionalFormatting sqref="F28:H28 J28:K28">
    <cfRule type="containsBlanks" dxfId="148" priority="23">
      <formula>LEN(TRIM(F28))=0</formula>
    </cfRule>
  </conditionalFormatting>
  <conditionalFormatting sqref="B28:C28">
    <cfRule type="containsBlanks" dxfId="147" priority="24">
      <formula>LEN(TRIM(B28))=0</formula>
    </cfRule>
  </conditionalFormatting>
  <conditionalFormatting sqref="K28">
    <cfRule type="cellIs" dxfId="146" priority="22" operator="lessThan">
      <formula>0</formula>
    </cfRule>
    <cfRule type="cellIs" dxfId="145" priority="27" operator="equal">
      <formula>0</formula>
    </cfRule>
  </conditionalFormatting>
  <conditionalFormatting sqref="H28">
    <cfRule type="cellIs" dxfId="144" priority="25" operator="lessThanOrEqual">
      <formula>0</formula>
    </cfRule>
  </conditionalFormatting>
  <conditionalFormatting sqref="O29">
    <cfRule type="containsText" dxfId="143" priority="21" operator="containsText" text="Error">
      <formula>NOT(ISERROR(SEARCH("Error",O29)))</formula>
    </cfRule>
  </conditionalFormatting>
  <conditionalFormatting sqref="D29:E29">
    <cfRule type="containsBlanks" dxfId="142" priority="20">
      <formula>LEN(TRIM(D29))=0</formula>
    </cfRule>
  </conditionalFormatting>
  <conditionalFormatting sqref="H29 K29">
    <cfRule type="expression" dxfId="141" priority="18">
      <formula>ISNUMBER(H29)=FALSE</formula>
    </cfRule>
  </conditionalFormatting>
  <conditionalFormatting sqref="F29:H29 J29:K29">
    <cfRule type="containsBlanks" dxfId="140" priority="15">
      <formula>LEN(TRIM(F29))=0</formula>
    </cfRule>
  </conditionalFormatting>
  <conditionalFormatting sqref="B29:C29">
    <cfRule type="containsBlanks" dxfId="139" priority="16">
      <formula>LEN(TRIM(B29))=0</formula>
    </cfRule>
  </conditionalFormatting>
  <conditionalFormatting sqref="K29">
    <cfRule type="cellIs" dxfId="138" priority="14" operator="lessThan">
      <formula>0</formula>
    </cfRule>
    <cfRule type="cellIs" dxfId="137" priority="19" operator="equal">
      <formula>0</formula>
    </cfRule>
  </conditionalFormatting>
  <conditionalFormatting sqref="H29">
    <cfRule type="cellIs" dxfId="136" priority="17" operator="lessThanOrEqual">
      <formula>0</formula>
    </cfRule>
  </conditionalFormatting>
  <conditionalFormatting sqref="O30">
    <cfRule type="containsText" dxfId="135" priority="13" operator="containsText" text="Error">
      <formula>NOT(ISERROR(SEARCH("Error",O30)))</formula>
    </cfRule>
  </conditionalFormatting>
  <conditionalFormatting sqref="D30:E30">
    <cfRule type="containsBlanks" dxfId="134" priority="12">
      <formula>LEN(TRIM(D30))=0</formula>
    </cfRule>
  </conditionalFormatting>
  <conditionalFormatting sqref="H30 K30">
    <cfRule type="expression" dxfId="133" priority="10">
      <formula>ISNUMBER(H30)=FALSE</formula>
    </cfRule>
  </conditionalFormatting>
  <conditionalFormatting sqref="F30:H30 J30:K30">
    <cfRule type="containsBlanks" dxfId="132" priority="7">
      <formula>LEN(TRIM(F30))=0</formula>
    </cfRule>
  </conditionalFormatting>
  <conditionalFormatting sqref="B30:C30">
    <cfRule type="containsBlanks" dxfId="131" priority="8">
      <formula>LEN(TRIM(B30))=0</formula>
    </cfRule>
  </conditionalFormatting>
  <conditionalFormatting sqref="K30">
    <cfRule type="cellIs" dxfId="130" priority="6" operator="lessThan">
      <formula>0</formula>
    </cfRule>
    <cfRule type="cellIs" dxfId="129" priority="11" operator="equal">
      <formula>0</formula>
    </cfRule>
  </conditionalFormatting>
  <conditionalFormatting sqref="H30">
    <cfRule type="cellIs" dxfId="128" priority="9" operator="lessThanOrEqual">
      <formula>0</formula>
    </cfRule>
  </conditionalFormatting>
  <conditionalFormatting sqref="F23">
    <cfRule type="containsBlanks" dxfId="127" priority="3">
      <formula>LEN(TRIM(F23))=0</formula>
    </cfRule>
  </conditionalFormatting>
  <conditionalFormatting sqref="F27">
    <cfRule type="containsBlanks" dxfId="126"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xr:uid="{00000000-0002-0000-0300-000000000000}"/>
    <dataValidation allowBlank="1" showInputMessage="1" showErrorMessage="1" error="Please encode City of Destination" prompt="Please encode City of Destination" sqref="I13:I30" xr:uid="{00000000-0002-0000-0300-000001000000}"/>
    <dataValidation type="whole" allowBlank="1" showInputMessage="1" showErrorMessage="1" error="Format error (whole number only)" prompt="Please encode number (whole number only)" sqref="H13:H30" xr:uid="{00000000-0002-0000-0300-000002000000}">
      <formula1>0</formula1>
      <formula2>50000</formula2>
    </dataValidation>
    <dataValidation allowBlank="1" showInputMessage="1" showErrorMessage="1" error="Please encode City of Departure" prompt="Please encode City of Departure" sqref="F13:F30"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0" xr:uid="{00000000-0002-0000-0300-000004000000}">
      <formula1>0</formula1>
      <formula2>90</formula2>
    </dataValidation>
    <dataValidation type="list" allowBlank="1" showInputMessage="1" showErrorMessage="1" error="Click arrow to select Category" prompt="Click arrow to select Category" sqref="G13:G30" xr:uid="{00000000-0002-0000-0300-000005000000}">
      <formula1>Category2</formula1>
    </dataValidation>
    <dataValidation type="list" allowBlank="1" showInputMessage="1" showErrorMessage="1" error="Click arrow to select Work Package" prompt="Click arrow to select Work Package" sqref="B13:B30" xr:uid="{00000000-0002-0000-0300-000006000000}">
      <formula1>WorkPackage</formula1>
    </dataValidation>
    <dataValidation type="list" allowBlank="1" showInputMessage="1" showErrorMessage="1" error="Click arrow to select Distance" prompt="Click arrow to select Distance" sqref="J13:J30" xr:uid="{00000000-0002-0000-0300-000007000000}">
      <formula1>TravelBands</formula1>
    </dataValidation>
    <dataValidation type="list" allowBlank="1" showInputMessage="1" showErrorMessage="1" error="Click arrow to select Partner N°" prompt="Click arrow to select Partner N°" sqref="C13:C30"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3"/>
  <sheetViews>
    <sheetView showGridLines="0" zoomScale="85" zoomScaleNormal="85" zoomScaleSheetLayoutView="55" workbookViewId="0">
      <pane ySplit="13" topLeftCell="A14" activePane="bottomLeft" state="frozen"/>
      <selection pane="bottomLeft" activeCell="F15" sqref="F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45" t="s">
        <v>187</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499999999999993" customHeight="1" x14ac:dyDescent="0.25">
      <c r="B4" s="174" t="s">
        <v>186</v>
      </c>
      <c r="C4" s="177">
        <f>SUM(H:H)</f>
        <v>198799.99999999994</v>
      </c>
      <c r="D4" s="178"/>
      <c r="E4" s="125"/>
      <c r="F4" s="126"/>
      <c r="G4" s="126"/>
      <c r="H4" s="126"/>
      <c r="I4" s="127"/>
    </row>
    <row r="5" spans="2:9" s="25" customFormat="1" ht="9.9499999999999993" customHeight="1" x14ac:dyDescent="0.25">
      <c r="B5" s="175"/>
      <c r="C5" s="179"/>
      <c r="D5" s="180"/>
      <c r="E5" s="125"/>
      <c r="F5" s="126"/>
      <c r="G5" s="126"/>
      <c r="H5" s="126"/>
      <c r="I5" s="127"/>
    </row>
    <row r="6" spans="2:9" s="25" customFormat="1" ht="9.9499999999999993" customHeight="1" x14ac:dyDescent="0.25">
      <c r="B6" s="175"/>
      <c r="C6" s="179"/>
      <c r="D6" s="180"/>
      <c r="E6" s="125"/>
      <c r="F6" s="126"/>
      <c r="G6" s="126"/>
      <c r="H6" s="126"/>
      <c r="I6" s="127"/>
    </row>
    <row r="7" spans="2:9" s="25" customFormat="1" ht="9.9499999999999993" customHeight="1" x14ac:dyDescent="0.25">
      <c r="B7" s="175"/>
      <c r="C7" s="179"/>
      <c r="D7" s="180"/>
      <c r="E7" s="125"/>
      <c r="F7" s="126"/>
      <c r="G7" s="126"/>
      <c r="H7" s="126"/>
      <c r="I7" s="127"/>
    </row>
    <row r="8" spans="2:9" s="25" customFormat="1" ht="9.9499999999999993" customHeight="1" x14ac:dyDescent="0.25">
      <c r="B8" s="175"/>
      <c r="C8" s="179"/>
      <c r="D8" s="180"/>
      <c r="E8" s="125"/>
      <c r="F8" s="126"/>
      <c r="G8" s="126"/>
      <c r="H8" s="126"/>
      <c r="I8" s="127"/>
    </row>
    <row r="9" spans="2:9" s="25" customFormat="1" ht="9.9499999999999993" customHeight="1" x14ac:dyDescent="0.2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25">
      <c r="B11" s="123" t="s">
        <v>164</v>
      </c>
      <c r="C11" s="123" t="s">
        <v>149</v>
      </c>
      <c r="D11" s="123" t="s">
        <v>218</v>
      </c>
      <c r="E11" s="173" t="s">
        <v>219</v>
      </c>
      <c r="F11" s="135" t="s">
        <v>134</v>
      </c>
      <c r="G11" s="159" t="s">
        <v>167</v>
      </c>
      <c r="H11" s="159" t="s">
        <v>166</v>
      </c>
      <c r="I11" s="159" t="s">
        <v>220</v>
      </c>
    </row>
    <row r="12" spans="2:9" ht="23.85" customHeight="1" x14ac:dyDescent="0.25">
      <c r="B12" s="124"/>
      <c r="C12" s="124"/>
      <c r="D12" s="124"/>
      <c r="E12" s="135"/>
      <c r="F12" s="124"/>
      <c r="G12" s="124"/>
      <c r="H12" s="124"/>
      <c r="I12" s="124"/>
    </row>
    <row r="13" spans="2:9" s="41" customFormat="1" hidden="1" x14ac:dyDescent="0.25">
      <c r="B13" s="19"/>
      <c r="C13" s="24"/>
      <c r="D13" s="50" t="str">
        <f t="shared" ref="D13:D23" si="0">IFERROR(IF(VLOOKUP(C13,PartnerN°Ref,2,FALSE)=0,"",VLOOKUP(C13,PartnerN°Ref,2,FALSE)),"")</f>
        <v/>
      </c>
      <c r="E13" s="50" t="str">
        <f t="shared" ref="E13:E23" si="1">IFERROR(IF(OR(VLOOKUP(C13,PartnerN°Ref,4,FALSE)="Country not found",VLOOKUP(C13,PartnerN°Ref,3,FALSE)=0),"",VLOOKUP(C13,PartnerN°Ref,3,FALSE)),"")</f>
        <v/>
      </c>
      <c r="F13" s="23"/>
      <c r="G13" s="42">
        <v>0</v>
      </c>
      <c r="H13" s="43">
        <f t="shared" ref="H13:H23" si="2">IF(I13="Error",0,ROUND(G13,2))</f>
        <v>0</v>
      </c>
      <c r="I13" s="40" t="str">
        <f t="shared" ref="I13:I23" si="3">IF(OR(COUNTIF(WorkPackage,B13)=0,COUNTIF(PartnerN°,C13)=0,D13="",COUNTIF(CountryEligEquip,E13)=0,F13="",ISNUMBER(G13)=FALSE,IF(ISNUMBER(G13)=TRUE,G13=INT(G13*100)/100=FALSE)),"Error","")</f>
        <v>Error</v>
      </c>
    </row>
    <row r="14" spans="2:9" s="41" customFormat="1" ht="36" customHeight="1" x14ac:dyDescent="0.25">
      <c r="B14" s="19" t="s">
        <v>175</v>
      </c>
      <c r="C14" s="24" t="s">
        <v>12</v>
      </c>
      <c r="D14" s="50" t="str">
        <f t="shared" si="0"/>
        <v>School of Electrical Engineering</v>
      </c>
      <c r="E14" s="50" t="str">
        <f t="shared" si="1"/>
        <v>Serbia</v>
      </c>
      <c r="F14" s="23" t="s">
        <v>391</v>
      </c>
      <c r="G14" s="42">
        <v>1666.67</v>
      </c>
      <c r="H14" s="43">
        <f t="shared" si="2"/>
        <v>1666.67</v>
      </c>
      <c r="I14" s="40" t="str">
        <f t="shared" si="3"/>
        <v/>
      </c>
    </row>
    <row r="15" spans="2:9" s="41" customFormat="1" x14ac:dyDescent="0.25">
      <c r="B15" s="19" t="s">
        <v>175</v>
      </c>
      <c r="C15" s="24" t="s">
        <v>12</v>
      </c>
      <c r="D15" s="50" t="str">
        <f t="shared" si="0"/>
        <v>School of Electrical Engineering</v>
      </c>
      <c r="E15" s="50" t="str">
        <f t="shared" ref="E15" si="4">IFERROR(IF(OR(VLOOKUP(C15,PartnerN°Ref,4,FALSE)="Country not found",VLOOKUP(C15,PartnerN°Ref,3,FALSE)=0),"",VLOOKUP(C15,PartnerN°Ref,3,FALSE)),"")</f>
        <v>Serbia</v>
      </c>
      <c r="F15" s="23" t="s">
        <v>368</v>
      </c>
      <c r="G15" s="42">
        <v>1666.67</v>
      </c>
      <c r="H15" s="43">
        <f t="shared" si="2"/>
        <v>1666.67</v>
      </c>
      <c r="I15" s="40" t="str">
        <f t="shared" ref="I15" si="5">IF(OR(COUNTIF(WorkPackage,B15)=0,COUNTIF(PartnerN°,C15)=0,D15="",COUNTIF(CountryEligEquip,E15)=0,F15="",ISNUMBER(G15)=FALSE,IF(ISNUMBER(G15)=TRUE,G15=INT(G15*100)/100=FALSE)),"Error","")</f>
        <v/>
      </c>
    </row>
    <row r="16" spans="2:9" s="41" customFormat="1" x14ac:dyDescent="0.25">
      <c r="B16" s="19" t="s">
        <v>174</v>
      </c>
      <c r="C16" s="24" t="s">
        <v>12</v>
      </c>
      <c r="D16" s="50" t="str">
        <f t="shared" si="0"/>
        <v>School of Electrical Engineering</v>
      </c>
      <c r="E16" s="50" t="str">
        <f t="shared" si="1"/>
        <v>Serbia</v>
      </c>
      <c r="F16" s="23" t="s">
        <v>369</v>
      </c>
      <c r="G16" s="42">
        <v>833.33</v>
      </c>
      <c r="H16" s="43">
        <f t="shared" si="2"/>
        <v>833.33</v>
      </c>
      <c r="I16" s="40" t="str">
        <f t="shared" si="3"/>
        <v/>
      </c>
    </row>
    <row r="17" spans="2:9" s="41" customFormat="1" x14ac:dyDescent="0.25">
      <c r="B17" s="19" t="s">
        <v>174</v>
      </c>
      <c r="C17" s="24" t="s">
        <v>12</v>
      </c>
      <c r="D17" s="50" t="str">
        <f t="shared" si="0"/>
        <v>School of Electrical Engineering</v>
      </c>
      <c r="E17" s="50" t="str">
        <f t="shared" ref="E17:E19" si="6">IFERROR(IF(OR(VLOOKUP(C17,PartnerN°Ref,4,FALSE)="Country not found",VLOOKUP(C17,PartnerN°Ref,3,FALSE)=0),"",VLOOKUP(C17,PartnerN°Ref,3,FALSE)),"")</f>
        <v>Serbia</v>
      </c>
      <c r="F17" s="23" t="s">
        <v>388</v>
      </c>
      <c r="G17" s="42">
        <v>50000</v>
      </c>
      <c r="H17" s="43">
        <f t="shared" si="2"/>
        <v>50000</v>
      </c>
      <c r="I17" s="40" t="str">
        <f t="shared" ref="I17:I19" si="7">IF(OR(COUNTIF(WorkPackage,B17)=0,COUNTIF(PartnerN°,C17)=0,D17="",COUNTIF(CountryEligEquip,E17)=0,F17="",ISNUMBER(G17)=FALSE,IF(ISNUMBER(G17)=TRUE,G17=INT(G17*100)/100=FALSE)),"Error","")</f>
        <v/>
      </c>
    </row>
    <row r="18" spans="2:9" s="41" customFormat="1" x14ac:dyDescent="0.25">
      <c r="B18" s="19" t="s">
        <v>174</v>
      </c>
      <c r="C18" s="24" t="s">
        <v>12</v>
      </c>
      <c r="D18" s="50" t="str">
        <f t="shared" ref="D18:D19" si="8">IFERROR(IF(VLOOKUP(C18,PartnerN°Ref,2,FALSE)=0,"",VLOOKUP(C18,PartnerN°Ref,2,FALSE)),"")</f>
        <v>School of Electrical Engineering</v>
      </c>
      <c r="E18" s="50" t="str">
        <f t="shared" si="6"/>
        <v>Serbia</v>
      </c>
      <c r="F18" s="23" t="s">
        <v>370</v>
      </c>
      <c r="G18" s="42">
        <v>75000</v>
      </c>
      <c r="H18" s="43">
        <f t="shared" ref="H18:H19" si="9">IF(I18="Error",0,ROUND(G18,2))</f>
        <v>75000</v>
      </c>
      <c r="I18" s="40" t="str">
        <f t="shared" si="7"/>
        <v/>
      </c>
    </row>
    <row r="19" spans="2:9" s="41" customFormat="1" x14ac:dyDescent="0.25">
      <c r="B19" s="19" t="s">
        <v>174</v>
      </c>
      <c r="C19" s="24" t="s">
        <v>12</v>
      </c>
      <c r="D19" s="50" t="str">
        <f t="shared" si="8"/>
        <v>School of Electrical Engineering</v>
      </c>
      <c r="E19" s="50" t="str">
        <f t="shared" si="6"/>
        <v>Serbia</v>
      </c>
      <c r="F19" s="23" t="s">
        <v>371</v>
      </c>
      <c r="G19" s="42">
        <v>50000</v>
      </c>
      <c r="H19" s="43">
        <f t="shared" si="9"/>
        <v>50000</v>
      </c>
      <c r="I19" s="40" t="str">
        <f t="shared" si="7"/>
        <v/>
      </c>
    </row>
    <row r="20" spans="2:9" s="41" customFormat="1" x14ac:dyDescent="0.25">
      <c r="B20" s="19" t="s">
        <v>323</v>
      </c>
      <c r="C20" s="24" t="s">
        <v>12</v>
      </c>
      <c r="D20" s="50" t="str">
        <f t="shared" si="0"/>
        <v>School of Electrical Engineering</v>
      </c>
      <c r="E20" s="50" t="str">
        <f t="shared" ref="E20" si="10">IFERROR(IF(OR(VLOOKUP(C20,PartnerN°Ref,4,FALSE)="Country not found",VLOOKUP(C20,PartnerN°Ref,3,FALSE)=0),"",VLOOKUP(C20,PartnerN°Ref,3,FALSE)),"")</f>
        <v>Serbia</v>
      </c>
      <c r="F20" s="23" t="s">
        <v>373</v>
      </c>
      <c r="G20" s="42">
        <v>16666.669999999998</v>
      </c>
      <c r="H20" s="43">
        <f t="shared" si="2"/>
        <v>16666.669999999998</v>
      </c>
      <c r="I20" s="40" t="str">
        <f t="shared" ref="I20" si="11">IF(OR(COUNTIF(WorkPackage,B20)=0,COUNTIF(PartnerN°,C20)=0,D20="",COUNTIF(CountryEligEquip,E20)=0,F20="",ISNUMBER(G20)=FALSE,IF(ISNUMBER(G20)=TRUE,G20=INT(G20*100)/100=FALSE)),"Error","")</f>
        <v/>
      </c>
    </row>
    <row r="21" spans="2:9" s="41" customFormat="1" x14ac:dyDescent="0.25">
      <c r="B21" s="19" t="s">
        <v>323</v>
      </c>
      <c r="C21" s="24" t="s">
        <v>12</v>
      </c>
      <c r="D21" s="50" t="str">
        <f t="shared" si="0"/>
        <v>School of Electrical Engineering</v>
      </c>
      <c r="E21" s="50" t="str">
        <f t="shared" si="1"/>
        <v>Serbia</v>
      </c>
      <c r="F21" s="23" t="s">
        <v>374</v>
      </c>
      <c r="G21" s="42">
        <v>833.33</v>
      </c>
      <c r="H21" s="43">
        <f t="shared" si="2"/>
        <v>833.33</v>
      </c>
      <c r="I21" s="40" t="str">
        <f t="shared" si="3"/>
        <v/>
      </c>
    </row>
    <row r="22" spans="2:9" s="41" customFormat="1" x14ac:dyDescent="0.25">
      <c r="B22" s="19" t="s">
        <v>323</v>
      </c>
      <c r="C22" s="24" t="s">
        <v>12</v>
      </c>
      <c r="D22" s="50" t="str">
        <f t="shared" si="0"/>
        <v>School of Electrical Engineering</v>
      </c>
      <c r="E22" s="50" t="str">
        <f t="shared" ref="E22" si="12">IFERROR(IF(OR(VLOOKUP(C22,PartnerN°Ref,4,FALSE)="Country not found",VLOOKUP(C22,PartnerN°Ref,3,FALSE)=0),"",VLOOKUP(C22,PartnerN°Ref,3,FALSE)),"")</f>
        <v>Serbia</v>
      </c>
      <c r="F22" s="23" t="s">
        <v>380</v>
      </c>
      <c r="G22" s="42">
        <v>333.33</v>
      </c>
      <c r="H22" s="43">
        <f t="shared" si="2"/>
        <v>333.33</v>
      </c>
      <c r="I22" s="40" t="str">
        <f t="shared" ref="I22" si="13">IF(OR(COUNTIF(WorkPackage,B22)=0,COUNTIF(PartnerN°,C22)=0,D22="",COUNTIF(CountryEligEquip,E22)=0,F22="",ISNUMBER(G22)=FALSE,IF(ISNUMBER(G22)=TRUE,G22=INT(G22*100)/100=FALSE)),"Error","")</f>
        <v/>
      </c>
    </row>
    <row r="23" spans="2:9" s="41" customFormat="1" x14ac:dyDescent="0.25">
      <c r="B23" s="19" t="s">
        <v>176</v>
      </c>
      <c r="C23" s="24" t="s">
        <v>12</v>
      </c>
      <c r="D23" s="50" t="str">
        <f t="shared" si="0"/>
        <v>School of Electrical Engineering</v>
      </c>
      <c r="E23" s="50" t="str">
        <f t="shared" si="1"/>
        <v>Serbia</v>
      </c>
      <c r="F23" s="23" t="s">
        <v>367</v>
      </c>
      <c r="G23" s="42">
        <v>1800</v>
      </c>
      <c r="H23" s="43">
        <f t="shared" si="2"/>
        <v>1800</v>
      </c>
      <c r="I23" s="40" t="str">
        <f t="shared" si="3"/>
        <v/>
      </c>
    </row>
  </sheetData>
  <sheetProtection algorithmName="SHA-512" hashValue="ow+jZx+2Xl5uFU4qix3O1ViyyrzD8edmlTg6eZneTChbE6eJGtfKCs6iyenhKhi4Jx+6wRje1L6uJadEy56Yjg==" saltValue="nc+HNU4e3A3dRy/YtxLFoA=="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25" priority="566" operator="containsText" text="Error">
      <formula>NOT(ISERROR(SEARCH("Error",I13)))</formula>
    </cfRule>
  </conditionalFormatting>
  <conditionalFormatting sqref="D13:E14">
    <cfRule type="containsBlanks" dxfId="124" priority="561">
      <formula>LEN(TRIM(D13))=0</formula>
    </cfRule>
  </conditionalFormatting>
  <conditionalFormatting sqref="E13">
    <cfRule type="expression" dxfId="123" priority="483">
      <formula>COUNTIF(CountryEligEquip,E13)=0</formula>
    </cfRule>
  </conditionalFormatting>
  <conditionalFormatting sqref="E14">
    <cfRule type="expression" dxfId="122" priority="484">
      <formula>COUNTIF(CountryEligEquip,E14)=0</formula>
    </cfRule>
  </conditionalFormatting>
  <conditionalFormatting sqref="G13">
    <cfRule type="cellIs" dxfId="121" priority="212" operator="lessThanOrEqual">
      <formula>0</formula>
    </cfRule>
  </conditionalFormatting>
  <conditionalFormatting sqref="F13:G13">
    <cfRule type="containsBlanks" dxfId="120" priority="209">
      <formula>LEN(TRIM(F13))=0</formula>
    </cfRule>
  </conditionalFormatting>
  <conditionalFormatting sqref="G14">
    <cfRule type="cellIs" dxfId="119" priority="208" operator="lessThanOrEqual">
      <formula>0</formula>
    </cfRule>
  </conditionalFormatting>
  <conditionalFormatting sqref="F14:G14">
    <cfRule type="containsBlanks" dxfId="118" priority="207">
      <formula>LEN(TRIM(F14))=0</formula>
    </cfRule>
  </conditionalFormatting>
  <conditionalFormatting sqref="B13:C13">
    <cfRule type="containsBlanks" dxfId="117" priority="206">
      <formula>LEN(TRIM(B13))=0</formula>
    </cfRule>
  </conditionalFormatting>
  <conditionalFormatting sqref="B14:C14">
    <cfRule type="containsBlanks" dxfId="116" priority="205">
      <formula>LEN(TRIM(B14))=0</formula>
    </cfRule>
  </conditionalFormatting>
  <conditionalFormatting sqref="I16">
    <cfRule type="containsText" dxfId="115" priority="198" operator="containsText" text="Error">
      <formula>NOT(ISERROR(SEARCH("Error",I16)))</formula>
    </cfRule>
  </conditionalFormatting>
  <conditionalFormatting sqref="D16:E16">
    <cfRule type="containsBlanks" dxfId="114" priority="197">
      <formula>LEN(TRIM(D16))=0</formula>
    </cfRule>
  </conditionalFormatting>
  <conditionalFormatting sqref="E16">
    <cfRule type="expression" dxfId="113" priority="196">
      <formula>COUNTIF(CountryEligEquip,E16)=0</formula>
    </cfRule>
  </conditionalFormatting>
  <conditionalFormatting sqref="G16">
    <cfRule type="cellIs" dxfId="112" priority="195" operator="lessThanOrEqual">
      <formula>0</formula>
    </cfRule>
  </conditionalFormatting>
  <conditionalFormatting sqref="F16:G16">
    <cfRule type="containsBlanks" dxfId="111" priority="194">
      <formula>LEN(TRIM(F16))=0</formula>
    </cfRule>
  </conditionalFormatting>
  <conditionalFormatting sqref="B16:C16">
    <cfRule type="containsBlanks" dxfId="110" priority="193">
      <formula>LEN(TRIM(B16))=0</formula>
    </cfRule>
  </conditionalFormatting>
  <conditionalFormatting sqref="I21">
    <cfRule type="containsText" dxfId="109" priority="186" operator="containsText" text="Error">
      <formula>NOT(ISERROR(SEARCH("Error",I21)))</formula>
    </cfRule>
  </conditionalFormatting>
  <conditionalFormatting sqref="D21:E21">
    <cfRule type="containsBlanks" dxfId="108" priority="185">
      <formula>LEN(TRIM(D21))=0</formula>
    </cfRule>
  </conditionalFormatting>
  <conditionalFormatting sqref="E21">
    <cfRule type="expression" dxfId="107" priority="184">
      <formula>COUNTIF(CountryEligEquip,E21)=0</formula>
    </cfRule>
  </conditionalFormatting>
  <conditionalFormatting sqref="G21">
    <cfRule type="cellIs" dxfId="106" priority="183" operator="lessThanOrEqual">
      <formula>0</formula>
    </cfRule>
  </conditionalFormatting>
  <conditionalFormatting sqref="F21:G21">
    <cfRule type="containsBlanks" dxfId="105" priority="182">
      <formula>LEN(TRIM(F21))=0</formula>
    </cfRule>
  </conditionalFormatting>
  <conditionalFormatting sqref="B21:C21">
    <cfRule type="containsBlanks" dxfId="104" priority="181">
      <formula>LEN(TRIM(B21))=0</formula>
    </cfRule>
  </conditionalFormatting>
  <conditionalFormatting sqref="I23">
    <cfRule type="containsText" dxfId="103" priority="180" operator="containsText" text="Error">
      <formula>NOT(ISERROR(SEARCH("Error",I23)))</formula>
    </cfRule>
  </conditionalFormatting>
  <conditionalFormatting sqref="D23:E23">
    <cfRule type="containsBlanks" dxfId="102" priority="179">
      <formula>LEN(TRIM(D23))=0</formula>
    </cfRule>
  </conditionalFormatting>
  <conditionalFormatting sqref="E23">
    <cfRule type="expression" dxfId="101" priority="178">
      <formula>COUNTIF(CountryEligEquip,E23)=0</formula>
    </cfRule>
  </conditionalFormatting>
  <conditionalFormatting sqref="G23">
    <cfRule type="cellIs" dxfId="100" priority="177" operator="lessThanOrEqual">
      <formula>0</formula>
    </cfRule>
  </conditionalFormatting>
  <conditionalFormatting sqref="F23:G23">
    <cfRule type="containsBlanks" dxfId="99" priority="176">
      <formula>LEN(TRIM(F23))=0</formula>
    </cfRule>
  </conditionalFormatting>
  <conditionalFormatting sqref="B23:C23">
    <cfRule type="containsBlanks" dxfId="98" priority="175">
      <formula>LEN(TRIM(B23))=0</formula>
    </cfRule>
  </conditionalFormatting>
  <conditionalFormatting sqref="I15">
    <cfRule type="containsText" dxfId="97" priority="156" operator="containsText" text="Error">
      <formula>NOT(ISERROR(SEARCH("Error",I15)))</formula>
    </cfRule>
  </conditionalFormatting>
  <conditionalFormatting sqref="D15:E15">
    <cfRule type="containsBlanks" dxfId="96" priority="155">
      <formula>LEN(TRIM(D15))=0</formula>
    </cfRule>
  </conditionalFormatting>
  <conditionalFormatting sqref="E15">
    <cfRule type="expression" dxfId="95" priority="154">
      <formula>COUNTIF(CountryEligEquip,E15)=0</formula>
    </cfRule>
  </conditionalFormatting>
  <conditionalFormatting sqref="G15">
    <cfRule type="cellIs" dxfId="94" priority="153" operator="lessThanOrEqual">
      <formula>0</formula>
    </cfRule>
  </conditionalFormatting>
  <conditionalFormatting sqref="F15:G15">
    <cfRule type="containsBlanks" dxfId="93" priority="152">
      <formula>LEN(TRIM(F15))=0</formula>
    </cfRule>
  </conditionalFormatting>
  <conditionalFormatting sqref="B15:C15">
    <cfRule type="containsBlanks" dxfId="92" priority="151">
      <formula>LEN(TRIM(B15))=0</formula>
    </cfRule>
  </conditionalFormatting>
  <conditionalFormatting sqref="I17">
    <cfRule type="containsText" dxfId="91" priority="84" operator="containsText" text="Error">
      <formula>NOT(ISERROR(SEARCH("Error",I17)))</formula>
    </cfRule>
  </conditionalFormatting>
  <conditionalFormatting sqref="D17:E17">
    <cfRule type="containsBlanks" dxfId="90" priority="83">
      <formula>LEN(TRIM(D17))=0</formula>
    </cfRule>
  </conditionalFormatting>
  <conditionalFormatting sqref="E17">
    <cfRule type="expression" dxfId="89" priority="82">
      <formula>COUNTIF(CountryEligEquip,E17)=0</formula>
    </cfRule>
  </conditionalFormatting>
  <conditionalFormatting sqref="G17">
    <cfRule type="cellIs" dxfId="88" priority="81" operator="lessThanOrEqual">
      <formula>0</formula>
    </cfRule>
  </conditionalFormatting>
  <conditionalFormatting sqref="F17:G17">
    <cfRule type="containsBlanks" dxfId="87" priority="80">
      <formula>LEN(TRIM(F17))=0</formula>
    </cfRule>
  </conditionalFormatting>
  <conditionalFormatting sqref="B17:C17">
    <cfRule type="containsBlanks" dxfId="86" priority="79">
      <formula>LEN(TRIM(B17))=0</formula>
    </cfRule>
  </conditionalFormatting>
  <conditionalFormatting sqref="I20">
    <cfRule type="containsText" dxfId="85" priority="72" operator="containsText" text="Error">
      <formula>NOT(ISERROR(SEARCH("Error",I20)))</formula>
    </cfRule>
  </conditionalFormatting>
  <conditionalFormatting sqref="D20:E20">
    <cfRule type="containsBlanks" dxfId="84" priority="71">
      <formula>LEN(TRIM(D20))=0</formula>
    </cfRule>
  </conditionalFormatting>
  <conditionalFormatting sqref="E20">
    <cfRule type="expression" dxfId="83" priority="70">
      <formula>COUNTIF(CountryEligEquip,E20)=0</formula>
    </cfRule>
  </conditionalFormatting>
  <conditionalFormatting sqref="G20">
    <cfRule type="cellIs" dxfId="82" priority="69" operator="lessThanOrEqual">
      <formula>0</formula>
    </cfRule>
  </conditionalFormatting>
  <conditionalFormatting sqref="F20:G20">
    <cfRule type="containsBlanks" dxfId="81" priority="68">
      <formula>LEN(TRIM(F20))=0</formula>
    </cfRule>
  </conditionalFormatting>
  <conditionalFormatting sqref="B20:C20">
    <cfRule type="containsBlanks" dxfId="80" priority="67">
      <formula>LEN(TRIM(B20))=0</formula>
    </cfRule>
  </conditionalFormatting>
  <conditionalFormatting sqref="I22">
    <cfRule type="containsText" dxfId="79" priority="24" operator="containsText" text="Error">
      <formula>NOT(ISERROR(SEARCH("Error",I22)))</formula>
    </cfRule>
  </conditionalFormatting>
  <conditionalFormatting sqref="D22:E22">
    <cfRule type="containsBlanks" dxfId="78" priority="23">
      <formula>LEN(TRIM(D22))=0</formula>
    </cfRule>
  </conditionalFormatting>
  <conditionalFormatting sqref="E22">
    <cfRule type="expression" dxfId="77" priority="22">
      <formula>COUNTIF(CountryEligEquip,E22)=0</formula>
    </cfRule>
  </conditionalFormatting>
  <conditionalFormatting sqref="G22">
    <cfRule type="cellIs" dxfId="76" priority="21" operator="lessThanOrEqual">
      <formula>0</formula>
    </cfRule>
  </conditionalFormatting>
  <conditionalFormatting sqref="F22:G22">
    <cfRule type="containsBlanks" dxfId="75" priority="20">
      <formula>LEN(TRIM(F22))=0</formula>
    </cfRule>
  </conditionalFormatting>
  <conditionalFormatting sqref="B22:C22">
    <cfRule type="containsBlanks" dxfId="74" priority="19">
      <formula>LEN(TRIM(B22))=0</formula>
    </cfRule>
  </conditionalFormatting>
  <conditionalFormatting sqref="I18">
    <cfRule type="containsText" dxfId="73" priority="18" operator="containsText" text="Error">
      <formula>NOT(ISERROR(SEARCH("Error",I18)))</formula>
    </cfRule>
  </conditionalFormatting>
  <conditionalFormatting sqref="D18:E18">
    <cfRule type="containsBlanks" dxfId="72" priority="17">
      <formula>LEN(TRIM(D18))=0</formula>
    </cfRule>
  </conditionalFormatting>
  <conditionalFormatting sqref="E18">
    <cfRule type="expression" dxfId="71" priority="16">
      <formula>COUNTIF(CountryEligEquip,E18)=0</formula>
    </cfRule>
  </conditionalFormatting>
  <conditionalFormatting sqref="G18">
    <cfRule type="cellIs" dxfId="70" priority="15" operator="lessThanOrEqual">
      <formula>0</formula>
    </cfRule>
  </conditionalFormatting>
  <conditionalFormatting sqref="F18:G18">
    <cfRule type="containsBlanks" dxfId="69" priority="14">
      <formula>LEN(TRIM(F18))=0</formula>
    </cfRule>
  </conditionalFormatting>
  <conditionalFormatting sqref="B18:C18">
    <cfRule type="containsBlanks" dxfId="68" priority="13">
      <formula>LEN(TRIM(B18))=0</formula>
    </cfRule>
  </conditionalFormatting>
  <conditionalFormatting sqref="I19">
    <cfRule type="containsText" dxfId="67" priority="12" operator="containsText" text="Error">
      <formula>NOT(ISERROR(SEARCH("Error",I19)))</formula>
    </cfRule>
  </conditionalFormatting>
  <conditionalFormatting sqref="D19:E19">
    <cfRule type="containsBlanks" dxfId="66" priority="11">
      <formula>LEN(TRIM(D19))=0</formula>
    </cfRule>
  </conditionalFormatting>
  <conditionalFormatting sqref="E19">
    <cfRule type="expression" dxfId="65" priority="10">
      <formula>COUNTIF(CountryEligEquip,E19)=0</formula>
    </cfRule>
  </conditionalFormatting>
  <conditionalFormatting sqref="G19">
    <cfRule type="cellIs" dxfId="64" priority="9" operator="lessThanOrEqual">
      <formula>0</formula>
    </cfRule>
  </conditionalFormatting>
  <conditionalFormatting sqref="F19:G19">
    <cfRule type="containsBlanks" dxfId="63" priority="8">
      <formula>LEN(TRIM(F19))=0</formula>
    </cfRule>
  </conditionalFormatting>
  <conditionalFormatting sqref="B19:C19">
    <cfRule type="containsBlanks" dxfId="62" priority="7">
      <formula>LEN(TRIM(B19))=0</formula>
    </cfRule>
  </conditionalFormatting>
  <dataValidations count="4">
    <dataValidation type="custom" allowBlank="1" showInputMessage="1" showErrorMessage="1" error="Format error (2 decimals only)" prompt="Please encode amount (2 decimals only)" sqref="G13:G23" xr:uid="{00000000-0002-0000-0400-000000000000}">
      <formula1>G13=INT(G13*100)/100</formula1>
    </dataValidation>
    <dataValidation allowBlank="1" showInputMessage="1" showErrorMessage="1" error="Please encode Nature, type and specifications" prompt="Please encode Nature, type and specifications" sqref="F13:F23" xr:uid="{00000000-0002-0000-0400-000001000000}"/>
    <dataValidation type="list" allowBlank="1" showInputMessage="1" showErrorMessage="1" error="Click arrow to select Work Package" prompt="Click arrow to select Work Package" sqref="B13:B23" xr:uid="{00000000-0002-0000-0400-000002000000}">
      <formula1>WorkPackage</formula1>
    </dataValidation>
    <dataValidation type="list" allowBlank="1" showInputMessage="1" showErrorMessage="1" error="Click arrow to select Partner N°" prompt="Click arrow to select Partner N°" sqref="C13:C23"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zoomScale="85" zoomScaleNormal="85" zoomScaleSheetLayoutView="55" workbookViewId="0">
      <pane ySplit="13" topLeftCell="A14" activePane="bottomLeft" state="frozen"/>
      <selection pane="bottomLeft" activeCell="B16" sqref="B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45" t="s">
        <v>188</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499999999999993" customHeight="1" x14ac:dyDescent="0.25">
      <c r="B4" s="174" t="s">
        <v>186</v>
      </c>
      <c r="C4" s="177">
        <f>SUM(H:H)</f>
        <v>99000</v>
      </c>
      <c r="D4" s="178"/>
      <c r="E4" s="125"/>
      <c r="F4" s="126"/>
      <c r="G4" s="126"/>
      <c r="H4" s="126"/>
      <c r="I4" s="127"/>
    </row>
    <row r="5" spans="2:9" s="25" customFormat="1" ht="9.9499999999999993" customHeight="1" x14ac:dyDescent="0.25">
      <c r="B5" s="175"/>
      <c r="C5" s="179"/>
      <c r="D5" s="180"/>
      <c r="E5" s="125"/>
      <c r="F5" s="126"/>
      <c r="G5" s="126"/>
      <c r="H5" s="126"/>
      <c r="I5" s="127"/>
    </row>
    <row r="6" spans="2:9" s="25" customFormat="1" ht="9.9499999999999993" customHeight="1" x14ac:dyDescent="0.25">
      <c r="B6" s="175"/>
      <c r="C6" s="179"/>
      <c r="D6" s="180"/>
      <c r="E6" s="125"/>
      <c r="F6" s="126"/>
      <c r="G6" s="126"/>
      <c r="H6" s="126"/>
      <c r="I6" s="127"/>
    </row>
    <row r="7" spans="2:9" s="25" customFormat="1" ht="9.9499999999999993" customHeight="1" x14ac:dyDescent="0.25">
      <c r="B7" s="175"/>
      <c r="C7" s="179"/>
      <c r="D7" s="180"/>
      <c r="E7" s="125"/>
      <c r="F7" s="126"/>
      <c r="G7" s="126"/>
      <c r="H7" s="126"/>
      <c r="I7" s="127"/>
    </row>
    <row r="8" spans="2:9" s="25" customFormat="1" ht="9.9499999999999993" customHeight="1" x14ac:dyDescent="0.25">
      <c r="B8" s="175"/>
      <c r="C8" s="179"/>
      <c r="D8" s="180"/>
      <c r="E8" s="125"/>
      <c r="F8" s="126"/>
      <c r="G8" s="126"/>
      <c r="H8" s="126"/>
      <c r="I8" s="127"/>
    </row>
    <row r="9" spans="2:9" s="25" customFormat="1" ht="9.9499999999999993" customHeight="1" x14ac:dyDescent="0.2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25">
      <c r="B11" s="123" t="s">
        <v>164</v>
      </c>
      <c r="C11" s="123" t="s">
        <v>149</v>
      </c>
      <c r="D11" s="123" t="s">
        <v>218</v>
      </c>
      <c r="E11" s="123" t="s">
        <v>219</v>
      </c>
      <c r="F11" s="135" t="s">
        <v>134</v>
      </c>
      <c r="G11" s="159" t="s">
        <v>167</v>
      </c>
      <c r="H11" s="159" t="s">
        <v>166</v>
      </c>
      <c r="I11" s="159" t="s">
        <v>220</v>
      </c>
    </row>
    <row r="12" spans="2:9" ht="23.85" customHeight="1" x14ac:dyDescent="0.25">
      <c r="B12" s="124"/>
      <c r="C12" s="124"/>
      <c r="D12" s="124"/>
      <c r="E12" s="124"/>
      <c r="F12" s="124"/>
      <c r="G12" s="124"/>
      <c r="H12" s="124"/>
      <c r="I12" s="124"/>
    </row>
    <row r="13" spans="2:9" s="41" customFormat="1" hidden="1" x14ac:dyDescent="0.25">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25">
      <c r="B14" s="19" t="s">
        <v>175</v>
      </c>
      <c r="C14" s="24" t="s">
        <v>8</v>
      </c>
      <c r="D14" s="50" t="str">
        <f t="shared" si="0"/>
        <v xml:space="preserve">Bundesministerium für Umwelt, Naturschutz und nukleare Sicherheit </v>
      </c>
      <c r="E14" s="50" t="str">
        <f t="shared" si="1"/>
        <v>Germany</v>
      </c>
      <c r="F14" s="23" t="s">
        <v>376</v>
      </c>
      <c r="G14" s="42">
        <v>5333.33</v>
      </c>
      <c r="H14" s="43">
        <f t="shared" si="2"/>
        <v>5333.33</v>
      </c>
      <c r="I14" s="40" t="str">
        <f t="shared" si="3"/>
        <v/>
      </c>
    </row>
    <row r="15" spans="2:9" s="41" customFormat="1" x14ac:dyDescent="0.25">
      <c r="B15" s="19" t="s">
        <v>174</v>
      </c>
      <c r="C15" s="24" t="s">
        <v>9</v>
      </c>
      <c r="D15" s="50" t="str">
        <f t="shared" si="0"/>
        <v>Vaisala</v>
      </c>
      <c r="E15" s="50" t="str">
        <f t="shared" ref="E15" si="4">IFERROR(IF(OR(VLOOKUP(C15,PartnerN°Ref,4,FALSE)="Country not found",VLOOKUP(C15,PartnerN°Ref,3,FALSE)=0),"",VLOOKUP(C15,PartnerN°Ref,3,FALSE)),"")</f>
        <v>Finland</v>
      </c>
      <c r="F15" s="23" t="s">
        <v>382</v>
      </c>
      <c r="G15" s="42">
        <v>80000</v>
      </c>
      <c r="H15" s="43">
        <f t="shared" si="2"/>
        <v>80000</v>
      </c>
      <c r="I15" s="40" t="str">
        <f t="shared" ref="I15" si="5">IF(OR(COUNTIF(WorkPackage,B15)=0,COUNTIF(PartnerN°,C15)=0,D15="",COUNTIF(CountryALL,E15)=0,F15="",ISNUMBER(G15)=FALSE,IF(ISNUMBER(G15)=TRUE,G15=INT(G15*100)/100=FALSE)),"Error","")</f>
        <v/>
      </c>
    </row>
    <row r="16" spans="2:9" s="41" customFormat="1" x14ac:dyDescent="0.25">
      <c r="B16" s="19" t="s">
        <v>323</v>
      </c>
      <c r="C16" s="24" t="s">
        <v>10</v>
      </c>
      <c r="D16" s="50" t="str">
        <f t="shared" si="0"/>
        <v>Swedish Recycling</v>
      </c>
      <c r="E16" s="50" t="str">
        <f t="shared" si="1"/>
        <v>Sweden</v>
      </c>
      <c r="F16" s="23" t="s">
        <v>375</v>
      </c>
      <c r="G16" s="42">
        <v>13666.67</v>
      </c>
      <c r="H16" s="43">
        <f t="shared" si="2"/>
        <v>13666.67</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14" operator="containsText" text="Error">
      <formula>NOT(ISERROR(SEARCH("Error",I13)))</formula>
    </cfRule>
  </conditionalFormatting>
  <conditionalFormatting sqref="D13:E14">
    <cfRule type="containsBlanks" dxfId="60" priority="208">
      <formula>LEN(TRIM(D13))=0</formula>
    </cfRule>
  </conditionalFormatting>
  <conditionalFormatting sqref="G13">
    <cfRule type="cellIs" dxfId="59" priority="33" operator="lessThanOrEqual">
      <formula>0</formula>
    </cfRule>
  </conditionalFormatting>
  <conditionalFormatting sqref="F13:G13">
    <cfRule type="containsBlanks" dxfId="58" priority="30">
      <formula>LEN(TRIM(F13))=0</formula>
    </cfRule>
  </conditionalFormatting>
  <conditionalFormatting sqref="G14">
    <cfRule type="cellIs" dxfId="57" priority="29" operator="lessThanOrEqual">
      <formula>0</formula>
    </cfRule>
  </conditionalFormatting>
  <conditionalFormatting sqref="F14:G14">
    <cfRule type="containsBlanks" dxfId="56" priority="28">
      <formula>LEN(TRIM(F14))=0</formula>
    </cfRule>
  </conditionalFormatting>
  <conditionalFormatting sqref="B13:C13">
    <cfRule type="containsBlanks" dxfId="55" priority="27">
      <formula>LEN(TRIM(B13))=0</formula>
    </cfRule>
  </conditionalFormatting>
  <conditionalFormatting sqref="B14:C14">
    <cfRule type="containsBlanks" dxfId="54" priority="26">
      <formula>LEN(TRIM(B14))=0</formula>
    </cfRule>
  </conditionalFormatting>
  <conditionalFormatting sqref="I16">
    <cfRule type="containsText" dxfId="53" priority="15" operator="containsText" text="Error">
      <formula>NOT(ISERROR(SEARCH("Error",I16)))</formula>
    </cfRule>
  </conditionalFormatting>
  <conditionalFormatting sqref="D16:E16">
    <cfRule type="containsBlanks" dxfId="52" priority="14">
      <formula>LEN(TRIM(D16))=0</formula>
    </cfRule>
  </conditionalFormatting>
  <conditionalFormatting sqref="G16">
    <cfRule type="cellIs" dxfId="51" priority="13" operator="lessThanOrEqual">
      <formula>0</formula>
    </cfRule>
  </conditionalFormatting>
  <conditionalFormatting sqref="F16:G16">
    <cfRule type="containsBlanks" dxfId="50" priority="12">
      <formula>LEN(TRIM(F16))=0</formula>
    </cfRule>
  </conditionalFormatting>
  <conditionalFormatting sqref="B16:C16">
    <cfRule type="containsBlanks" dxfId="49" priority="11">
      <formula>LEN(TRIM(B16))=0</formula>
    </cfRule>
  </conditionalFormatting>
  <conditionalFormatting sqref="I15">
    <cfRule type="containsText" dxfId="48" priority="5" operator="containsText" text="Error">
      <formula>NOT(ISERROR(SEARCH("Error",I15)))</formula>
    </cfRule>
  </conditionalFormatting>
  <conditionalFormatting sqref="D15:E15">
    <cfRule type="containsBlanks" dxfId="47" priority="4">
      <formula>LEN(TRIM(D15))=0</formula>
    </cfRule>
  </conditionalFormatting>
  <conditionalFormatting sqref="G15">
    <cfRule type="cellIs" dxfId="46" priority="3" operator="lessThanOrEqual">
      <formula>0</formula>
    </cfRule>
  </conditionalFormatting>
  <conditionalFormatting sqref="F15:G15">
    <cfRule type="containsBlanks" dxfId="45" priority="2">
      <formula>LEN(TRIM(F15))=0</formula>
    </cfRule>
  </conditionalFormatting>
  <conditionalFormatting sqref="B15:C15">
    <cfRule type="containsBlanks" dxfId="44" priority="1">
      <formula>LEN(TRIM(B15))=0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3"/>
  <sheetViews>
    <sheetView showGridLines="0" topLeftCell="C1"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34" t="s">
        <v>201</v>
      </c>
      <c r="C2" s="134"/>
      <c r="D2" s="134"/>
      <c r="E2" s="134"/>
      <c r="F2" s="134"/>
      <c r="G2" s="134"/>
      <c r="H2" s="134"/>
      <c r="I2" s="134"/>
      <c r="J2" s="134"/>
    </row>
    <row r="3" spans="2:10" s="25" customFormat="1" ht="8.1" customHeight="1" x14ac:dyDescent="0.25">
      <c r="B3" s="131"/>
      <c r="C3" s="132"/>
      <c r="D3" s="132"/>
      <c r="E3" s="132"/>
      <c r="F3" s="132"/>
      <c r="G3" s="132"/>
      <c r="H3" s="132"/>
      <c r="I3" s="132"/>
      <c r="J3" s="133"/>
    </row>
    <row r="4" spans="2:10" s="25" customFormat="1" ht="9.9499999999999993" customHeight="1" x14ac:dyDescent="0.25">
      <c r="B4" s="186" t="s">
        <v>186</v>
      </c>
      <c r="C4" s="183">
        <f>SUM(I:I)</f>
        <v>223333.33999999997</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28"/>
      <c r="C10" s="129"/>
      <c r="D10" s="129"/>
      <c r="E10" s="129"/>
      <c r="F10" s="129"/>
      <c r="G10" s="129"/>
      <c r="H10" s="129"/>
      <c r="I10" s="129"/>
      <c r="J10" s="130"/>
    </row>
    <row r="11" spans="2:10" s="53" customFormat="1" ht="42" customHeight="1" x14ac:dyDescent="0.25">
      <c r="B11" s="123" t="s">
        <v>149</v>
      </c>
      <c r="C11" s="123" t="s">
        <v>218</v>
      </c>
      <c r="D11" s="123" t="s">
        <v>219</v>
      </c>
      <c r="E11" s="123" t="s">
        <v>190</v>
      </c>
      <c r="F11" s="135" t="s">
        <v>191</v>
      </c>
      <c r="G11" s="135" t="s">
        <v>192</v>
      </c>
      <c r="H11" s="159" t="s">
        <v>167</v>
      </c>
      <c r="I11" s="159" t="s">
        <v>166</v>
      </c>
      <c r="J11" s="159" t="s">
        <v>220</v>
      </c>
    </row>
    <row r="12" spans="2:10" ht="23.85" customHeight="1" x14ac:dyDescent="0.25">
      <c r="B12" s="124"/>
      <c r="C12" s="124"/>
      <c r="D12" s="124"/>
      <c r="E12" s="124"/>
      <c r="F12" s="124"/>
      <c r="G12" s="124"/>
      <c r="H12" s="124"/>
      <c r="I12" s="124"/>
      <c r="J12" s="124"/>
    </row>
    <row r="13" spans="2:10" s="41" customFormat="1" hidden="1" x14ac:dyDescent="0.25">
      <c r="B13" s="24"/>
      <c r="C13" s="50" t="str">
        <f t="shared" ref="C13:C19" si="0">IFERROR(IF(VLOOKUP(B13,PartnerN°Ref,2,FALSE)=0,"",VLOOKUP(B13,PartnerN°Ref,2,FALSE)),"")</f>
        <v/>
      </c>
      <c r="D13" s="50" t="str">
        <f t="shared" ref="D13:D19" si="1">IFERROR(IF(OR(VLOOKUP(B13,PartnerN°Ref,4,FALSE)="Country not found",VLOOKUP(B13,PartnerN°Ref,3,FALSE)=0),"",VLOOKUP(B13,PartnerN°Ref,3,FALSE)),"")</f>
        <v/>
      </c>
      <c r="E13" s="23"/>
      <c r="F13" s="23"/>
      <c r="G13" s="23"/>
      <c r="H13" s="42">
        <v>0</v>
      </c>
      <c r="I13" s="43">
        <f t="shared" ref="I13:I19" si="2">IF(J13="Error",0,ROUND(H13,2))</f>
        <v>0</v>
      </c>
      <c r="J13" s="40" t="str">
        <f t="shared" ref="J13:J19" si="3">IF(OR(COUNTIF(PartnerN°,B13)=0,C13="",COUNTIF(CountryALL,D13)=0,E13="",F13="",G13="",ISNUMBER(H13)=FALSE,IF(ISNUMBER(H13)=TRUE,H13=INT(H13*100)/100=FALSE)),"Error","")</f>
        <v>Error</v>
      </c>
    </row>
    <row r="14" spans="2:10" s="41" customFormat="1" ht="36" x14ac:dyDescent="0.25">
      <c r="B14" s="24" t="s">
        <v>8</v>
      </c>
      <c r="C14" s="50" t="str">
        <f t="shared" si="0"/>
        <v xml:space="preserve">Bundesministerium für Umwelt, Naturschutz und nukleare Sicherheit </v>
      </c>
      <c r="D14" s="50" t="str">
        <f t="shared" si="1"/>
        <v>Germany</v>
      </c>
      <c r="E14" s="23" t="s">
        <v>383</v>
      </c>
      <c r="F14" s="23" t="s">
        <v>384</v>
      </c>
      <c r="G14" s="23" t="s">
        <v>385</v>
      </c>
      <c r="H14" s="42">
        <v>41666.67</v>
      </c>
      <c r="I14" s="43">
        <f t="shared" si="2"/>
        <v>41666.67</v>
      </c>
      <c r="J14" s="40" t="str">
        <f t="shared" si="3"/>
        <v/>
      </c>
    </row>
    <row r="15" spans="2:10" s="41" customFormat="1" ht="36" x14ac:dyDescent="0.25">
      <c r="B15" s="24" t="s">
        <v>8</v>
      </c>
      <c r="C15" s="50" t="str">
        <f t="shared" si="0"/>
        <v xml:space="preserve">Bundesministerium für Umwelt, Naturschutz und nukleare Sicherheit </v>
      </c>
      <c r="D15" s="50" t="str">
        <f t="shared" si="1"/>
        <v>Germany</v>
      </c>
      <c r="E15" s="23" t="s">
        <v>379</v>
      </c>
      <c r="F15" s="23" t="s">
        <v>384</v>
      </c>
      <c r="G15" s="23" t="s">
        <v>385</v>
      </c>
      <c r="H15" s="42">
        <v>25000</v>
      </c>
      <c r="I15" s="43">
        <f t="shared" si="2"/>
        <v>25000</v>
      </c>
      <c r="J15" s="40" t="str">
        <f t="shared" si="3"/>
        <v/>
      </c>
    </row>
    <row r="16" spans="2:10" s="41" customFormat="1" ht="36" x14ac:dyDescent="0.25">
      <c r="B16" s="24" t="s">
        <v>8</v>
      </c>
      <c r="C16" s="50" t="str">
        <f t="shared" si="0"/>
        <v xml:space="preserve">Bundesministerium für Umwelt, Naturschutz und nukleare Sicherheit </v>
      </c>
      <c r="D16" s="50" t="str">
        <f t="shared" ref="D16" si="4">IFERROR(IF(OR(VLOOKUP(B16,PartnerN°Ref,4,FALSE)="Country not found",VLOOKUP(B16,PartnerN°Ref,3,FALSE)=0),"",VLOOKUP(B16,PartnerN°Ref,3,FALSE)),"")</f>
        <v>Germany</v>
      </c>
      <c r="E16" s="23" t="s">
        <v>389</v>
      </c>
      <c r="F16" s="23" t="s">
        <v>386</v>
      </c>
      <c r="G16" s="23" t="s">
        <v>390</v>
      </c>
      <c r="H16" s="42">
        <v>100000</v>
      </c>
      <c r="I16" s="43">
        <f t="shared" si="2"/>
        <v>100000</v>
      </c>
      <c r="J16" s="40" t="str">
        <f t="shared" ref="J16" si="5">IF(OR(COUNTIF(PartnerN°,B16)=0,C16="",COUNTIF(CountryALL,D16)=0,E16="",F16="",G16="",ISNUMBER(H16)=FALSE,IF(ISNUMBER(H16)=TRUE,H16=INT(H16*100)/100=FALSE)),"Error","")</f>
        <v/>
      </c>
    </row>
    <row r="17" spans="2:10" s="41" customFormat="1" x14ac:dyDescent="0.25">
      <c r="B17" s="24" t="s">
        <v>9</v>
      </c>
      <c r="C17" s="50" t="str">
        <f t="shared" si="0"/>
        <v>Vaisala</v>
      </c>
      <c r="D17" s="50" t="str">
        <f t="shared" si="1"/>
        <v>Finland</v>
      </c>
      <c r="E17" s="23" t="s">
        <v>377</v>
      </c>
      <c r="F17" s="23" t="s">
        <v>386</v>
      </c>
      <c r="G17" s="23" t="s">
        <v>387</v>
      </c>
      <c r="H17" s="42">
        <v>16666.669999999998</v>
      </c>
      <c r="I17" s="43">
        <f t="shared" si="2"/>
        <v>16666.669999999998</v>
      </c>
      <c r="J17" s="40" t="str">
        <f t="shared" si="3"/>
        <v/>
      </c>
    </row>
    <row r="18" spans="2:10" s="41" customFormat="1" x14ac:dyDescent="0.25">
      <c r="B18" s="24" t="s">
        <v>9</v>
      </c>
      <c r="C18" s="50" t="str">
        <f t="shared" si="0"/>
        <v>Vaisala</v>
      </c>
      <c r="D18" s="50" t="str">
        <f t="shared" si="1"/>
        <v>Finland</v>
      </c>
      <c r="E18" s="23" t="s">
        <v>378</v>
      </c>
      <c r="F18" s="23" t="s">
        <v>386</v>
      </c>
      <c r="G18" s="23" t="s">
        <v>387</v>
      </c>
      <c r="H18" s="42">
        <v>20833.330000000002</v>
      </c>
      <c r="I18" s="43">
        <f t="shared" si="2"/>
        <v>20833.330000000002</v>
      </c>
      <c r="J18" s="40" t="str">
        <f t="shared" si="3"/>
        <v/>
      </c>
    </row>
    <row r="19" spans="2:10" s="41" customFormat="1" x14ac:dyDescent="0.25">
      <c r="B19" s="24" t="s">
        <v>11</v>
      </c>
      <c r="C19" s="50" t="str">
        <f t="shared" si="0"/>
        <v>Xebia</v>
      </c>
      <c r="D19" s="50" t="str">
        <f t="shared" si="1"/>
        <v>Netherlands</v>
      </c>
      <c r="E19" s="23" t="s">
        <v>372</v>
      </c>
      <c r="F19" s="23" t="s">
        <v>386</v>
      </c>
      <c r="G19" s="23" t="s">
        <v>386</v>
      </c>
      <c r="H19" s="42">
        <v>19166.669999999998</v>
      </c>
      <c r="I19" s="43">
        <f t="shared" si="2"/>
        <v>19166.669999999998</v>
      </c>
      <c r="J19" s="40" t="str">
        <f t="shared" si="3"/>
        <v/>
      </c>
    </row>
    <row r="21" spans="2:10" x14ac:dyDescent="0.25">
      <c r="B21" s="47" t="s">
        <v>221</v>
      </c>
    </row>
    <row r="22" spans="2:10" x14ac:dyDescent="0.25">
      <c r="B22" s="47" t="s">
        <v>222</v>
      </c>
    </row>
    <row r="23" spans="2:10" x14ac:dyDescent="0.25">
      <c r="B23" s="47" t="s">
        <v>223</v>
      </c>
    </row>
  </sheetData>
  <sheetProtection algorithmName="SHA-512" hashValue="icgiDqw1PFP4TXxN1GDSurwKF/9jWJOkJmMzzWSR2yCFufITo0Wh4bscJw3FDY9/wzEw8hxPaljhH6ViEclDYw==" saltValue="iZ5AIQpT+XqU0zxLzYNp0w=="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3" priority="179" operator="containsText" text="Error">
      <formula>NOT(ISERROR(SEARCH("Error",J13)))</formula>
    </cfRule>
  </conditionalFormatting>
  <conditionalFormatting sqref="C13:D14">
    <cfRule type="containsBlanks" dxfId="42" priority="172">
      <formula>LEN(TRIM(C13))=0</formula>
    </cfRule>
  </conditionalFormatting>
  <conditionalFormatting sqref="H13:H15 H17:H19">
    <cfRule type="cellIs" dxfId="41" priority="43" operator="lessThanOrEqual">
      <formula>0</formula>
    </cfRule>
  </conditionalFormatting>
  <conditionalFormatting sqref="E13:H13 G18 H15 F18:F19 H17:H19">
    <cfRule type="containsBlanks" dxfId="40" priority="40">
      <formula>LEN(TRIM(E13))=0</formula>
    </cfRule>
  </conditionalFormatting>
  <conditionalFormatting sqref="E14:H14">
    <cfRule type="containsBlanks" dxfId="39" priority="38">
      <formula>LEN(TRIM(E14))=0</formula>
    </cfRule>
  </conditionalFormatting>
  <conditionalFormatting sqref="B13">
    <cfRule type="containsBlanks" dxfId="38" priority="37">
      <formula>LEN(TRIM(B13))=0</formula>
    </cfRule>
  </conditionalFormatting>
  <conditionalFormatting sqref="B14">
    <cfRule type="containsBlanks" dxfId="37" priority="36">
      <formula>LEN(TRIM(B14))=0</formula>
    </cfRule>
  </conditionalFormatting>
  <conditionalFormatting sqref="J15">
    <cfRule type="containsText" dxfId="36" priority="35" operator="containsText" text="Error">
      <formula>NOT(ISERROR(SEARCH("Error",J15)))</formula>
    </cfRule>
  </conditionalFormatting>
  <conditionalFormatting sqref="C15:D15">
    <cfRule type="containsBlanks" dxfId="35" priority="34">
      <formula>LEN(TRIM(C15))=0</formula>
    </cfRule>
  </conditionalFormatting>
  <conditionalFormatting sqref="E15:G15">
    <cfRule type="containsBlanks" dxfId="34" priority="32">
      <formula>LEN(TRIM(E15))=0</formula>
    </cfRule>
  </conditionalFormatting>
  <conditionalFormatting sqref="B15">
    <cfRule type="containsBlanks" dxfId="33" priority="31">
      <formula>LEN(TRIM(B15))=0</formula>
    </cfRule>
  </conditionalFormatting>
  <conditionalFormatting sqref="J17">
    <cfRule type="containsText" dxfId="32" priority="30" operator="containsText" text="Error">
      <formula>NOT(ISERROR(SEARCH("Error",J17)))</formula>
    </cfRule>
  </conditionalFormatting>
  <conditionalFormatting sqref="C17:D17">
    <cfRule type="containsBlanks" dxfId="31" priority="29">
      <formula>LEN(TRIM(C17))=0</formula>
    </cfRule>
  </conditionalFormatting>
  <conditionalFormatting sqref="E17:G17">
    <cfRule type="containsBlanks" dxfId="30" priority="27">
      <formula>LEN(TRIM(E17))=0</formula>
    </cfRule>
  </conditionalFormatting>
  <conditionalFormatting sqref="B17">
    <cfRule type="containsBlanks" dxfId="29" priority="26">
      <formula>LEN(TRIM(B17))=0</formula>
    </cfRule>
  </conditionalFormatting>
  <conditionalFormatting sqref="J18">
    <cfRule type="containsText" dxfId="28" priority="25" operator="containsText" text="Error">
      <formula>NOT(ISERROR(SEARCH("Error",J18)))</formula>
    </cfRule>
  </conditionalFormatting>
  <conditionalFormatting sqref="C18:D18">
    <cfRule type="containsBlanks" dxfId="27" priority="24">
      <formula>LEN(TRIM(C18))=0</formula>
    </cfRule>
  </conditionalFormatting>
  <conditionalFormatting sqref="E18">
    <cfRule type="containsBlanks" dxfId="26" priority="22">
      <formula>LEN(TRIM(E18))=0</formula>
    </cfRule>
  </conditionalFormatting>
  <conditionalFormatting sqref="B18">
    <cfRule type="containsBlanks" dxfId="25" priority="21">
      <formula>LEN(TRIM(B18))=0</formula>
    </cfRule>
  </conditionalFormatting>
  <conditionalFormatting sqref="J19">
    <cfRule type="containsText" dxfId="24" priority="10" operator="containsText" text="Error">
      <formula>NOT(ISERROR(SEARCH("Error",J19)))</formula>
    </cfRule>
  </conditionalFormatting>
  <conditionalFormatting sqref="C19:D19">
    <cfRule type="containsBlanks" dxfId="23" priority="9">
      <formula>LEN(TRIM(C19))=0</formula>
    </cfRule>
  </conditionalFormatting>
  <conditionalFormatting sqref="E19 G19">
    <cfRule type="containsBlanks" dxfId="22" priority="7">
      <formula>LEN(TRIM(E19))=0</formula>
    </cfRule>
  </conditionalFormatting>
  <conditionalFormatting sqref="B19">
    <cfRule type="containsBlanks" dxfId="21" priority="6">
      <formula>LEN(TRIM(B19))=0</formula>
    </cfRule>
  </conditionalFormatting>
  <conditionalFormatting sqref="J16">
    <cfRule type="containsText" dxfId="20" priority="5" operator="containsText" text="Error">
      <formula>NOT(ISERROR(SEARCH("Error",J16)))</formula>
    </cfRule>
  </conditionalFormatting>
  <conditionalFormatting sqref="C16:D16">
    <cfRule type="containsBlanks" dxfId="19" priority="4">
      <formula>LEN(TRIM(C16))=0</formula>
    </cfRule>
  </conditionalFormatting>
  <conditionalFormatting sqref="H16">
    <cfRule type="cellIs" dxfId="18" priority="3" operator="lessThanOrEqual">
      <formula>0</formula>
    </cfRule>
  </conditionalFormatting>
  <conditionalFormatting sqref="E16:H16">
    <cfRule type="containsBlanks" dxfId="17" priority="2">
      <formula>LEN(TRIM(E16))=0</formula>
    </cfRule>
  </conditionalFormatting>
  <conditionalFormatting sqref="B16">
    <cfRule type="containsBlanks" dxfId="16" priority="1">
      <formula>LEN(TRIM(B16))=0</formula>
    </cfRule>
  </conditionalFormatting>
  <dataValidations count="5">
    <dataValidation allowBlank="1" showInputMessage="1" showErrorMessage="1" error="Please encode Item" prompt="Please encode Item" sqref="E13:E19" xr:uid="{00000000-0002-0000-0600-000000000000}"/>
    <dataValidation type="custom" allowBlank="1" showInputMessage="1" showErrorMessage="1" error="Format error (2 decimals only)" prompt="Please encode amount (2 decimals only)" sqref="H13:H19" xr:uid="{00000000-0002-0000-0600-000001000000}">
      <formula1>H13=INT(H13*100)/100</formula1>
    </dataValidation>
    <dataValidation allowBlank="1" showInputMessage="1" showErrorMessage="1" error="Please encode Justification" prompt="Please encode Justification" sqref="G13:G19" xr:uid="{00000000-0002-0000-0600-000002000000}"/>
    <dataValidation allowBlank="1" showInputMessage="1" showErrorMessage="1" error="Please encode Source of Co-financing" prompt="Please encode Source of Co-financing" sqref="F13:F19" xr:uid="{00000000-0002-0000-0600-000003000000}"/>
    <dataValidation type="list" allowBlank="1" showInputMessage="1" showErrorMessage="1" error="Click arrow to select Partner n°" prompt="Click arrow to select Partner n°" sqref="B13:B19"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34" t="s">
        <v>180</v>
      </c>
      <c r="C2" s="134"/>
      <c r="D2" s="134"/>
      <c r="E2" s="134"/>
      <c r="F2" s="134"/>
      <c r="G2" s="134"/>
      <c r="H2" s="134"/>
      <c r="I2" s="134"/>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76793</v>
      </c>
      <c r="D5" s="26">
        <f>SUMIF('2-3. Travel Costs&amp;Costs of Stay'!B:B,B5,'2-3. Travel Costs&amp;Costs of Stay'!L:L)</f>
        <v>6050</v>
      </c>
      <c r="E5" s="27">
        <f>SUMIF('2-3. Travel Costs&amp;Costs of Stay'!B:B,B5,'2-3. Travel Costs&amp;Costs of Stay'!M:M)</f>
        <v>58520</v>
      </c>
      <c r="F5" s="27">
        <f>SUMIF('4. Equipment Costs'!B:B,B5,'4. Equipment Costs'!H:H)</f>
        <v>3333.34</v>
      </c>
      <c r="G5" s="27">
        <f>SUMIF('5. Subcontracting Costs'!B:B,B5,'5. Subcontracting Costs'!H:H)</f>
        <v>5333.33</v>
      </c>
      <c r="H5" s="193"/>
      <c r="I5" s="28">
        <f>SUM(C5:G5)</f>
        <v>150029.66999999998</v>
      </c>
    </row>
    <row r="6" spans="2:9" ht="16.5" customHeight="1" x14ac:dyDescent="0.25">
      <c r="B6" s="89" t="str">
        <f>'Unit Costs &amp; Funding Rule'!P11</f>
        <v>Development</v>
      </c>
      <c r="C6" s="26">
        <f>SUMIF('1. Staff costs'!B:B,B6,'1. Staff costs'!S:S)</f>
        <v>175041</v>
      </c>
      <c r="D6" s="26">
        <f>SUMIF('2-3. Travel Costs&amp;Costs of Stay'!B:B,B6,'2-3. Travel Costs&amp;Costs of Stay'!L:L)</f>
        <v>7425</v>
      </c>
      <c r="E6" s="27">
        <f>SUMIF('2-3. Travel Costs&amp;Costs of Stay'!B:B,B6,'2-3. Travel Costs&amp;Costs of Stay'!M:M)</f>
        <v>148300</v>
      </c>
      <c r="F6" s="27">
        <f>SUMIF('4. Equipment Costs'!B:B,B6,'4. Equipment Costs'!H:H)</f>
        <v>175833.33000000002</v>
      </c>
      <c r="G6" s="27">
        <f>SUMIF('5. Subcontracting Costs'!B:B,B6,'5. Subcontracting Costs'!H:H)</f>
        <v>80000</v>
      </c>
      <c r="H6" s="194"/>
      <c r="I6" s="28">
        <f t="shared" ref="I6:I9" si="0">SUM(C6:G6)</f>
        <v>586599.33000000007</v>
      </c>
    </row>
    <row r="7" spans="2:9" ht="16.5" customHeight="1" x14ac:dyDescent="0.25">
      <c r="B7" s="89" t="str">
        <f>'Unit Costs &amp; Funding Rule'!P12</f>
        <v>Quality Plan</v>
      </c>
      <c r="C7" s="26">
        <f>SUMIF('1. Staff costs'!B:B,B7,'1. Staff costs'!S:S)</f>
        <v>7877</v>
      </c>
      <c r="D7" s="26">
        <f>SUMIF('2-3. Travel Costs&amp;Costs of Stay'!B:B,B7,'2-3. Travel Costs&amp;Costs of Stay'!L:L)</f>
        <v>4400</v>
      </c>
      <c r="E7" s="27">
        <f>SUMIF('2-3. Travel Costs&amp;Costs of Stay'!B:B,B7,'2-3. Travel Costs&amp;Costs of Stay'!M:M)</f>
        <v>5760</v>
      </c>
      <c r="F7" s="27">
        <f>SUMIF('4. Equipment Costs'!B:B,B7,'4. Equipment Costs'!H:H)</f>
        <v>0</v>
      </c>
      <c r="G7" s="27">
        <f>SUMIF('5. Subcontracting Costs'!B:B,B7,'5. Subcontracting Costs'!H:H)</f>
        <v>0</v>
      </c>
      <c r="H7" s="194"/>
      <c r="I7" s="28">
        <f t="shared" si="0"/>
        <v>18037</v>
      </c>
    </row>
    <row r="8" spans="2:9" ht="16.5" customHeight="1" x14ac:dyDescent="0.25">
      <c r="B8" s="89" t="str">
        <f>'Unit Costs &amp; Funding Rule'!P13</f>
        <v>Dissemination &amp; Exploitation</v>
      </c>
      <c r="C8" s="26">
        <f>SUMIF('1. Staff costs'!B:B,B8,'1. Staff costs'!S:S)</f>
        <v>82954</v>
      </c>
      <c r="D8" s="26">
        <f>SUMIF('2-3. Travel Costs&amp;Costs of Stay'!B:B,B8,'2-3. Travel Costs&amp;Costs of Stay'!L:L)</f>
        <v>1650</v>
      </c>
      <c r="E8" s="27">
        <f>SUMIF('2-3. Travel Costs&amp;Costs of Stay'!B:B,B8,'2-3. Travel Costs&amp;Costs of Stay'!M:M)</f>
        <v>10500</v>
      </c>
      <c r="F8" s="27">
        <f>SUMIF('4. Equipment Costs'!B:B,B8,'4. Equipment Costs'!H:H)</f>
        <v>17833.330000000002</v>
      </c>
      <c r="G8" s="27">
        <f>SUMIF('5. Subcontracting Costs'!B:B,B8,'5. Subcontracting Costs'!H:H)</f>
        <v>13666.67</v>
      </c>
      <c r="H8" s="194"/>
      <c r="I8" s="28">
        <f t="shared" si="0"/>
        <v>126604</v>
      </c>
    </row>
    <row r="9" spans="2:9" ht="16.5" customHeight="1" x14ac:dyDescent="0.25">
      <c r="B9" s="89" t="str">
        <f>'Unit Costs &amp; Funding Rule'!P14</f>
        <v>Management</v>
      </c>
      <c r="C9" s="26">
        <f>SUMIF('1. Staff costs'!B:B,B9,'1. Staff costs'!S:S)</f>
        <v>56711</v>
      </c>
      <c r="D9" s="26">
        <f>SUMIF('2-3. Travel Costs&amp;Costs of Stay'!B:B,B9,'2-3. Travel Costs&amp;Costs of Stay'!L:L)</f>
        <v>5775</v>
      </c>
      <c r="E9" s="27">
        <f>SUMIF('2-3. Travel Costs&amp;Costs of Stay'!B:B,B9,'2-3. Travel Costs&amp;Costs of Stay'!M:M)</f>
        <v>44100</v>
      </c>
      <c r="F9" s="27">
        <f>SUMIF('4. Equipment Costs'!B:B,B9,'4. Equipment Costs'!H:H)</f>
        <v>1800</v>
      </c>
      <c r="G9" s="27">
        <f>SUMIF('5. Subcontracting Costs'!B:B,B9,'5. Subcontracting Costs'!H:H)</f>
        <v>0</v>
      </c>
      <c r="H9" s="195"/>
      <c r="I9" s="28">
        <f t="shared" si="0"/>
        <v>108386</v>
      </c>
    </row>
    <row r="10" spans="2:9" x14ac:dyDescent="0.25">
      <c r="B10" s="51" t="s">
        <v>1</v>
      </c>
      <c r="C10" s="28">
        <f t="shared" ref="C10:F10" si="1">SUM(C5:C9)</f>
        <v>399376</v>
      </c>
      <c r="D10" s="28">
        <f t="shared" si="1"/>
        <v>25300</v>
      </c>
      <c r="E10" s="28">
        <f t="shared" si="1"/>
        <v>267180</v>
      </c>
      <c r="F10" s="28">
        <f t="shared" si="1"/>
        <v>198800</v>
      </c>
      <c r="G10" s="28">
        <f>SUM(G5:G9)</f>
        <v>99000</v>
      </c>
      <c r="H10" s="28">
        <f>IF(OR(Overview!C26="",Overview!D26=""),0,'2-3. Travel Costs&amp;Costs of Stay'!J4)</f>
        <v>10105</v>
      </c>
      <c r="I10" s="22">
        <f>SUM(C10:H10)</f>
        <v>999761</v>
      </c>
    </row>
    <row r="11" spans="2:9" ht="20.100000000000001" customHeight="1" x14ac:dyDescent="0.25">
      <c r="B11" s="201"/>
      <c r="C11" s="201"/>
      <c r="D11" s="201"/>
      <c r="E11" s="201"/>
      <c r="F11" s="201"/>
      <c r="G11" s="201"/>
      <c r="H11" s="201"/>
      <c r="I11" s="201"/>
    </row>
    <row r="12" spans="2:9" ht="30" customHeight="1" x14ac:dyDescent="0.25">
      <c r="B12" s="134" t="s">
        <v>205</v>
      </c>
      <c r="C12" s="134"/>
      <c r="D12" s="134"/>
      <c r="E12" s="134"/>
      <c r="F12" s="134"/>
      <c r="G12" s="134"/>
      <c r="H12" s="134"/>
      <c r="I12" s="134"/>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382942</v>
      </c>
      <c r="D15" s="26">
        <f>SUMIF(Overview!$E$26:$E$80,B15,Overview!$G$26:$G$80)</f>
        <v>30180</v>
      </c>
      <c r="E15" s="26">
        <f>SUMIF(Overview!$E$26:$E$80,B15,Overview!$H$26:$H$80)</f>
        <v>219430</v>
      </c>
      <c r="F15" s="26">
        <f>SUMIF(Overview!$E$26:$E$80,B15,Overview!$I$26:$I$80)</f>
        <v>0</v>
      </c>
      <c r="G15" s="26">
        <f>SUMIF(Overview!$E$26:$E$80,B15,Overview!$J$26:$J$80)</f>
        <v>99000</v>
      </c>
      <c r="H15" s="199">
        <f>SUM(C15:G15)</f>
        <v>731552</v>
      </c>
      <c r="I15" s="199"/>
    </row>
    <row r="16" spans="2:9" x14ac:dyDescent="0.25">
      <c r="B16" s="89" t="s">
        <v>199</v>
      </c>
      <c r="C16" s="26">
        <f>SUMIF(Overview!$E$26:$E$80,B16,Overview!$F$26:$F$80)</f>
        <v>16434</v>
      </c>
      <c r="D16" s="26">
        <f>SUMIF(Overview!$E$26:$E$80,B16,Overview!$G$26:$G$80)</f>
        <v>5225</v>
      </c>
      <c r="E16" s="26">
        <f>SUMIF(Overview!$E$26:$E$80,B16,Overview!$H$26:$H$80)</f>
        <v>47750</v>
      </c>
      <c r="F16" s="26">
        <f>SUMIF(Overview!$E$26:$E$80,B16,Overview!$I$26:$I$80)</f>
        <v>198799.99999999994</v>
      </c>
      <c r="G16" s="26">
        <f>SUMIF(Overview!$E$26:$E$80,B16,Overview!$J$26:$J$80)</f>
        <v>0</v>
      </c>
      <c r="H16" s="199">
        <f>SUM(C16:G16)</f>
        <v>268208.99999999994</v>
      </c>
      <c r="I16" s="199"/>
    </row>
    <row r="17" spans="2:9" x14ac:dyDescent="0.25">
      <c r="B17" s="51" t="s">
        <v>1</v>
      </c>
      <c r="C17" s="28">
        <f t="shared" ref="C17:G17" si="2">SUM(C15:C16)</f>
        <v>399376</v>
      </c>
      <c r="D17" s="28">
        <f t="shared" si="2"/>
        <v>35405</v>
      </c>
      <c r="E17" s="28">
        <f t="shared" si="2"/>
        <v>267180</v>
      </c>
      <c r="F17" s="28">
        <f t="shared" si="2"/>
        <v>198799.99999999994</v>
      </c>
      <c r="G17" s="28">
        <f t="shared" si="2"/>
        <v>99000</v>
      </c>
      <c r="H17" s="200">
        <f>SUM(C17:G17)</f>
        <v>999761</v>
      </c>
      <c r="I17" s="200"/>
    </row>
    <row r="18" spans="2:9" ht="20.100000000000001" customHeight="1" x14ac:dyDescent="0.25">
      <c r="B18" s="196"/>
      <c r="C18" s="196"/>
      <c r="D18" s="196"/>
      <c r="E18" s="196"/>
      <c r="F18" s="196"/>
      <c r="G18" s="196"/>
      <c r="H18" s="196"/>
      <c r="I18" s="196"/>
    </row>
    <row r="19" spans="2:9" ht="30" customHeight="1" x14ac:dyDescent="0.25">
      <c r="B19" s="134" t="s">
        <v>207</v>
      </c>
      <c r="C19" s="134"/>
      <c r="D19" s="134"/>
      <c r="E19" s="134"/>
      <c r="F19" s="134"/>
      <c r="G19" s="134"/>
      <c r="H19" s="134"/>
      <c r="I19" s="134"/>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17996.330000000002</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96520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4662</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50151</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56711</v>
      </c>
      <c r="H22" s="27">
        <f>IF(OR(Overview!C26="",Overview!D26=""),0,'2-3. Travel Costs&amp;Costs of Stay'!J4)</f>
        <v>10105</v>
      </c>
      <c r="I22" s="29">
        <f>SUM(C22:H22)</f>
        <v>236145.33000000002</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49643</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165935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1767</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14250</v>
      </c>
      <c r="H23" s="27">
        <v>0</v>
      </c>
      <c r="I23" s="29">
        <f t="shared" ref="I23:I76" si="3">SUM(C23:H23)</f>
        <v>231595</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26426</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39667</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4527</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58619.67</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14250</v>
      </c>
      <c r="H24" s="27">
        <v>0</v>
      </c>
      <c r="I24" s="29">
        <f t="shared" si="3"/>
        <v>143489.66999999998</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35851</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68069</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4527</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11875</v>
      </c>
      <c r="H25" s="27">
        <v>0</v>
      </c>
      <c r="I25" s="29">
        <f t="shared" si="3"/>
        <v>120322</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20113.34</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216408.33000000002</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2554</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17833.330000000002</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11300</v>
      </c>
      <c r="H26" s="27">
        <v>0</v>
      </c>
      <c r="I26" s="29">
        <f t="shared" si="3"/>
        <v>268209</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150029.67000000001</v>
      </c>
      <c r="D77" s="28">
        <f t="shared" ref="D77:G77" si="4">SUM(D22:D76)</f>
        <v>586599.33000000007</v>
      </c>
      <c r="E77" s="28">
        <f t="shared" si="4"/>
        <v>18037</v>
      </c>
      <c r="F77" s="28">
        <f t="shared" si="4"/>
        <v>126604</v>
      </c>
      <c r="G77" s="28">
        <f t="shared" si="4"/>
        <v>108386</v>
      </c>
      <c r="H77" s="90">
        <f>SUM(H22:H76)</f>
        <v>10105</v>
      </c>
      <c r="I77" s="30">
        <f>SUM(C77:H77)</f>
        <v>999761.00000000012</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03" t="s">
        <v>344</v>
      </c>
      <c r="C1" s="204"/>
      <c r="D1" s="204"/>
      <c r="E1" s="204"/>
      <c r="F1" s="204"/>
      <c r="G1" s="204"/>
      <c r="H1" s="204"/>
      <c r="I1" s="204"/>
      <c r="J1" s="204"/>
      <c r="K1" s="204"/>
      <c r="L1" s="204"/>
      <c r="M1" s="204"/>
      <c r="N1" s="204"/>
      <c r="O1" s="204"/>
      <c r="P1" s="204"/>
      <c r="Q1" s="204"/>
      <c r="R1" s="204"/>
      <c r="S1" s="204"/>
      <c r="T1" s="204"/>
      <c r="U1" s="204"/>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05" t="s">
        <v>227</v>
      </c>
      <c r="C4" s="205"/>
      <c r="D4" s="205"/>
      <c r="E4" s="205"/>
      <c r="F4" s="205"/>
      <c r="G4" s="205"/>
      <c r="I4" s="205" t="s">
        <v>228</v>
      </c>
      <c r="J4" s="205"/>
      <c r="L4" s="205" t="s">
        <v>229</v>
      </c>
      <c r="M4" s="205"/>
      <c r="N4" s="205"/>
      <c r="P4" s="205" t="s">
        <v>230</v>
      </c>
      <c r="Q4" s="205"/>
      <c r="S4" s="205" t="s">
        <v>231</v>
      </c>
      <c r="T4" s="205"/>
      <c r="U4" s="205"/>
    </row>
    <row r="5" spans="2:21" s="69" customFormat="1" ht="157.5" customHeight="1" x14ac:dyDescent="0.25">
      <c r="B5" s="209" t="s">
        <v>345</v>
      </c>
      <c r="C5" s="210"/>
      <c r="D5" s="210"/>
      <c r="E5" s="210"/>
      <c r="F5" s="210"/>
      <c r="G5" s="211"/>
      <c r="I5" s="209" t="s">
        <v>319</v>
      </c>
      <c r="J5" s="211"/>
      <c r="L5" s="209" t="s">
        <v>346</v>
      </c>
      <c r="M5" s="210"/>
      <c r="N5" s="211"/>
      <c r="P5" s="209" t="s">
        <v>316</v>
      </c>
      <c r="Q5" s="211"/>
      <c r="S5" s="209" t="s">
        <v>320</v>
      </c>
      <c r="T5" s="210"/>
      <c r="U5" s="211"/>
    </row>
    <row r="6" spans="2:21" s="70" customFormat="1" ht="80.25" customHeight="1" x14ac:dyDescent="0.25">
      <c r="B6" s="212"/>
      <c r="C6" s="213"/>
      <c r="D6" s="213"/>
      <c r="E6" s="213"/>
      <c r="F6" s="213"/>
      <c r="G6" s="214"/>
      <c r="I6" s="212"/>
      <c r="J6" s="214"/>
      <c r="L6" s="212"/>
      <c r="M6" s="213"/>
      <c r="N6" s="214"/>
      <c r="P6" s="212"/>
      <c r="Q6" s="214"/>
      <c r="S6" s="212"/>
      <c r="T6" s="213"/>
      <c r="U6" s="214"/>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6" t="s">
        <v>332</v>
      </c>
      <c r="Q7" s="207"/>
      <c r="S7" s="206" t="s">
        <v>333</v>
      </c>
      <c r="T7" s="208"/>
      <c r="U7" s="207"/>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5FB2861-ECA0-4B0A-9CC6-B62988A7DC03}">
  <ds:schemaRefs>
    <ds:schemaRef ds:uri="http://schemas.microsoft.com/office/2006/metadata/properties"/>
    <ds:schemaRef ds:uri="http://www.w3.org/XML/1998/namespace"/>
    <ds:schemaRef ds:uri="http://schemas.microsoft.com/office/infopath/2007/PartnerControls"/>
    <ds:schemaRef ds:uri="http://purl.org/dc/dcmitype/"/>
    <ds:schemaRef ds:uri="http://schemas.microsoft.com/office/2006/documentManagement/types"/>
    <ds:schemaRef ds:uri="http://purl.org/dc/elements/1.1/"/>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cp:lastModifiedBy>
  <cp:lastPrinted>2017-11-10T08:43:50Z</cp:lastPrinted>
  <dcterms:created xsi:type="dcterms:W3CDTF">2013-09-27T15:40:24Z</dcterms:created>
  <dcterms:modified xsi:type="dcterms:W3CDTF">2018-05-19T21:52:10Z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